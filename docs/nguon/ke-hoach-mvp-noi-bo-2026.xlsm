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Tổng quan" sheetId="1" r:id="rId4"/>
    <sheet state="visible" name="Chi tiết màn hình" sheetId="2" r:id="rId5"/>
    <sheet state="visible" name="Timeline" sheetId="3" r:id="rId6"/>
    <sheet state="visible" name="Phạm vi &amp; giả định" sheetId="4" r:id="rId7"/>
  </sheets>
  <definedNames/>
  <calcPr/>
  <extLst>
    <ext uri="GoogleSheetsCustomDataVersion2">
      <go:sheetsCustomData xmlns:go="http://customooxmlschemas.google.com/" r:id="rId8" roundtripDataChecksum="pGu1hQ+EtDaxaaXTFYBez4Mrkn2b4Au9dujkaC9UZ+Y="/>
    </ext>
  </extLst>
</workbook>
</file>

<file path=xl/sharedStrings.xml><?xml version="1.0" encoding="utf-8"?>
<sst xmlns="http://schemas.openxmlformats.org/spreadsheetml/2006/main" count="638" uniqueCount="338">
  <si>
    <t>TIMELINE 9 TUẦN — NỘI BỘ TEAM</t>
  </si>
  <si>
    <t>PILATES STUDIO — KẾ HOẠCH TRIỂN KHAI MVP (NỘI BỘ TEAM)</t>
  </si>
  <si>
    <t>CHI TIẾT MÀN HÌNH / HẠNG MỤC — NỘI BỘ TEAM</t>
  </si>
  <si>
    <t>PHẠM VI, GIẢ ĐỊNH &amp; ĐIỂM CẦN CHỐT — NỘI BỘ TEAM</t>
  </si>
  <si>
    <t>Mốc MVP là 02/10/2026. Tuần 9 (05–09/10) chỉ dùng khi có thay đổi nhỏ hoặc lỗi phát sinh sau nghiệm thu.</t>
  </si>
  <si>
    <t>Danh sách đủ để BE, FE và người phụ trách nghiệp vụ cùng theo dõi. Có thể cập nhật trạng thái trực tiếp ở cột O.</t>
  </si>
  <si>
    <t>Bắt đầu 09/08/2026 • Phát triển từ 10/08/2026 • Dự kiến đưa vào sử dụng 02/10/2026 • Bản nội bộ: effort, phân công và điều kiện kỹ thuật</t>
  </si>
  <si>
    <t>Các điều kiện dùng để giữ kế hoạch hoàn thành vào 02/10/2026.</t>
  </si>
  <si>
    <t>Nhóm</t>
  </si>
  <si>
    <t>Ngày bắt đầu</t>
  </si>
  <si>
    <t>Mã</t>
  </si>
  <si>
    <t>Mã tính năng</t>
  </si>
  <si>
    <t>Hoàn thành MVP</t>
  </si>
  <si>
    <t>Nội dung</t>
  </si>
  <si>
    <t>Tính năng</t>
  </si>
  <si>
    <t>Màn hình / hạng mục</t>
  </si>
  <si>
    <t>Kết quả bàn giao</t>
  </si>
  <si>
    <t>Tuần dự phòng</t>
  </si>
  <si>
    <t>Quyết định hiện tại</t>
  </si>
  <si>
    <t>Loại</t>
  </si>
  <si>
    <t>Tuần 1</t>
  </si>
  <si>
    <t>Nhóm tính năng</t>
  </si>
  <si>
    <t>Ảnh hưởng nếu thay đổi</t>
  </si>
  <si>
    <t>Người dùng</t>
  </si>
  <si>
    <t>Hạng mục/màn hình</t>
  </si>
  <si>
    <t>Người xác nhận</t>
  </si>
  <si>
    <t>Mô tả ngắn</t>
  </si>
  <si>
    <t>Effort mục tiêu (giờ)</t>
  </si>
  <si>
    <t>Hạn xác nhận</t>
  </si>
  <si>
    <t>Bắt đầu</t>
  </si>
  <si>
    <t>BA/PM/Test</t>
  </si>
  <si>
    <t>Tuần 2</t>
  </si>
  <si>
    <t>Hoàn thành</t>
  </si>
  <si>
    <t>Backend</t>
  </si>
  <si>
    <t>Team</t>
  </si>
  <si>
    <t>Tuần 3</t>
  </si>
  <si>
    <t>Frontend</t>
  </si>
  <si>
    <t>Ngày lịch</t>
  </si>
  <si>
    <t>Tuần 4</t>
  </si>
  <si>
    <t>Mô hình làm việc</t>
  </si>
  <si>
    <t>Điều kiện hoàn thành</t>
  </si>
  <si>
    <t>Tuần 5</t>
  </si>
  <si>
    <t>1 BA/PM/Test + 1 BE Python + 1 FE ReactJS</t>
  </si>
  <si>
    <t>Trạng thái ban đầu</t>
  </si>
  <si>
    <t>Ghi chú</t>
  </si>
  <si>
    <t>Tuần 6</t>
  </si>
  <si>
    <t>BA/PM/Test (h)</t>
  </si>
  <si>
    <t>Tuần 7</t>
  </si>
  <si>
    <t>Làm song song, có AI hỗ trợ</t>
  </si>
  <si>
    <t>BE (h)</t>
  </si>
  <si>
    <t>Tuần 8</t>
  </si>
  <si>
    <t>FE (h)</t>
  </si>
  <si>
    <t>Dự phòng</t>
  </si>
  <si>
    <t>Thiếu một người sẽ làm trễ các phần phụ thuộc</t>
  </si>
  <si>
    <t>Tổng (h)</t>
  </si>
  <si>
    <t>Bạn/Team</t>
  </si>
  <si>
    <t>Trạng thái</t>
  </si>
  <si>
    <t>05–09/10/2026</t>
  </si>
  <si>
    <t>F00</t>
  </si>
  <si>
    <t>Lịch làm việc</t>
  </si>
  <si>
    <t>Quy định booking và số buổi</t>
  </si>
  <si>
    <t>09/08 là kickoff; ngày phát triển đầu tiên 10/08</t>
  </si>
  <si>
    <t>Tính theo ngày làm việc trong tuần</t>
  </si>
  <si>
    <t>Làm cuối tuần có thể rút ngắn nhưng không mặc định</t>
  </si>
  <si>
    <t>Nền tảng</t>
  </si>
  <si>
    <t>Nội bộ</t>
  </si>
  <si>
    <t>Chốt hủy đúng hạn, hoàn buổi, lớp đầy và danh sách chờ</t>
  </si>
  <si>
    <t>Công nghệ</t>
  </si>
  <si>
    <t>Nền tảng &amp; chốt nghiệp vụ</t>
  </si>
  <si>
    <t>Chốt luồng, DB/API và nền tảng dự án</t>
  </si>
  <si>
    <t>Python + ReactJS; PostgreSQL; thư viện lịch có sẵn</t>
  </si>
  <si>
    <t>Không tự xây calendar từ đầu</t>
  </si>
  <si>
    <t>●</t>
  </si>
  <si>
    <t>Đổi stack sẽ cần đánh giá lại</t>
  </si>
  <si>
    <t>Tech team</t>
  </si>
  <si>
    <t>Quản trị nội bộ</t>
  </si>
  <si>
    <t>Ưu tiên trang quản trị có sẵn cho nội dung đơn giản</t>
  </si>
  <si>
    <t>Chỉ React hóa luồng dùng thường xuyên</t>
  </si>
  <si>
    <t>Thiết kế toàn bộ Admin riêng có thể tăng 90–130 giờ</t>
  </si>
  <si>
    <t>Khách/Bạn</t>
  </si>
  <si>
    <t>Thanh toán</t>
  </si>
  <si>
    <t>Chỉ ghi nhận chuyển khoản/tiền mặt</t>
  </si>
  <si>
    <t>Không có cổng thanh toán online</t>
  </si>
  <si>
    <t>Tích hợp online làm tăng effort và test</t>
  </si>
  <si>
    <t>Các quy định được khách xác nhận và lưu thành tài liệu</t>
  </si>
  <si>
    <t>Khách</t>
  </si>
  <si>
    <t>F01</t>
  </si>
  <si>
    <t>Ưu tiên chốt trước khi code booking</t>
  </si>
  <si>
    <t>Tài khoản &amp; phân quyền</t>
  </si>
  <si>
    <t>Thông báo</t>
  </si>
  <si>
    <t>Hiển thị nhắc việc cho nhân viên</t>
  </si>
  <si>
    <t>Đăng nhập và phân quyền 3 nhóm người dùng</t>
  </si>
  <si>
    <t>Chưa tự gửi Zalo/WhatsApp/SMS</t>
  </si>
  <si>
    <t>Tự động gửi cần API, template và chi phí vận hành</t>
  </si>
  <si>
    <t>Hủy lớp</t>
  </si>
  <si>
    <t>Cần chốt số giờ được xem là hủy đúng hạn</t>
  </si>
  <si>
    <t>BE/FE song song</t>
  </si>
  <si>
    <t>Chưa điền ngưỡng cụ thể</t>
  </si>
  <si>
    <t>Nếu chốt muộn sẽ chặn F07</t>
  </si>
  <si>
    <t>Chưa bắt đầu</t>
  </si>
  <si>
    <t>Danh sách chờ</t>
  </si>
  <si>
    <t>F02</t>
  </si>
  <si>
    <t>Ưu tiên theo thứ tự đăng ký; nhân viên xác nhận chuyển vào lớp</t>
  </si>
  <si>
    <t>Website &amp; khách hàng quan tâm</t>
  </si>
  <si>
    <t>Quy tắc MVP đơn giản</t>
  </si>
  <si>
    <t>Website công khai và nhận thông tin tư vấn</t>
  </si>
  <si>
    <t>Tự động giữ chỗ/hết hạn phức tạp hơn</t>
  </si>
  <si>
    <t>Thiết kế database &amp; API contract</t>
  </si>
  <si>
    <t>Dữ liệu ban đầu</t>
  </si>
  <si>
    <t>Màn hình/hạng mục</t>
  </si>
  <si>
    <t>F03</t>
  </si>
  <si>
    <t>Studio cung cấp danh sách học viên, HLV, gói và lịch</t>
  </si>
  <si>
    <t>Quản lý học viên</t>
  </si>
  <si>
    <t>Dùng template nhập dữ liệu</t>
  </si>
  <si>
    <t>Hồ sơ học viên và lịch sử liên quan</t>
  </si>
  <si>
    <t>Dữ liệu thiếu/sai làm chậm nghiệm thu</t>
  </si>
  <si>
    <t>BE</t>
  </si>
  <si>
    <t>FE</t>
  </si>
  <si>
    <t>Không còn lỗi nghiêm trọng; khách xác nhận UAT; hệ thống chạy PROD</t>
  </si>
  <si>
    <t>Tổng giờ</t>
  </si>
  <si>
    <t>Mốc 02/10/2026</t>
  </si>
  <si>
    <t>Mô hình dữ liệu và hợp đồng API để BE/FE làm song song</t>
  </si>
  <si>
    <t>Thay đổi lớn chuyển sang giai đoạn sau</t>
  </si>
  <si>
    <t>Khách/Team</t>
  </si>
  <si>
    <t>F04</t>
  </si>
  <si>
    <t>Quản lý HLV</t>
  </si>
  <si>
    <t>Hồ sơ, lịch dạy và số lớp HLV</t>
  </si>
  <si>
    <t>CHƯA THUỘC PHẠM VI GIAI ĐOẠN NÀY</t>
  </si>
  <si>
    <t>ERD và API contract được review</t>
  </si>
  <si>
    <t>Thanh toán online và học viên tự mua gói trên website</t>
  </si>
  <si>
    <t>F05</t>
  </si>
  <si>
    <t>Gói tập, số buổi &amp; thanh toán</t>
  </si>
  <si>
    <t>Bán/gia hạn gói và sổ cộng trừ buổi</t>
  </si>
  <si>
    <t>Tự động gửi Zalo, WhatsApp hoặc SMS</t>
  </si>
  <si>
    <t>F06</t>
  </si>
  <si>
    <t>Khởi tạo dự án, CI/CD &amp; bộ giao diện chung</t>
  </si>
  <si>
    <t>Lớp &amp; lịch học</t>
  </si>
  <si>
    <t>Lịch Group/Private và quản lý lớp</t>
  </si>
  <si>
    <t>QR check-in, đánh giá HLV/lớp và ghi chú bài tập sau buổi</t>
  </si>
  <si>
    <t>Python/React, môi trường DEV và component nền</t>
  </si>
  <si>
    <t>Tính lương/hoa hồng HLV; quản lý nhiều cơ sở/phòng/thiết bị</t>
  </si>
  <si>
    <t>Build/deploy DEV thành công</t>
  </si>
  <si>
    <t>F07</t>
  </si>
  <si>
    <t>Đăng ký, hủy, đổi &amp; chờ lớp</t>
  </si>
  <si>
    <t>Hoàn thành luồng booking và trừ/hoàn buổi</t>
  </si>
  <si>
    <t>Mobile app và báo cáo nâng cao</t>
  </si>
  <si>
    <t>F08</t>
  </si>
  <si>
    <t>Đăng nhập</t>
  </si>
  <si>
    <t>Nhắc học viên sắp hết gói</t>
  </si>
  <si>
    <t>Màn hình</t>
  </si>
  <si>
    <t>Danh sách cần liên hệ gia hạn</t>
  </si>
  <si>
    <t>Tất cả</t>
  </si>
  <si>
    <t>Đăng nhập bằng tài khoản được cấp</t>
  </si>
  <si>
    <t>Đăng nhập đúng quyền; báo lỗi rõ ràng</t>
  </si>
  <si>
    <t>F09</t>
  </si>
  <si>
    <t>Báo cáo cơ bản</t>
  </si>
  <si>
    <t>Dashboard và báo cáo vận hành cơ bản</t>
  </si>
  <si>
    <t>Quên/đặt lại mật khẩu</t>
  </si>
  <si>
    <t>F10</t>
  </si>
  <si>
    <t>Kiểm thử, nghiệm thu &amp; triển khai</t>
  </si>
  <si>
    <t>UAT, sửa lỗi và đưa hệ thống vào sử dụng</t>
  </si>
  <si>
    <t>Yêu cầu đặt lại và tạo mật khẩu mới</t>
  </si>
  <si>
    <t>Liên kết đặt lại có hạn và dùng một lần</t>
  </si>
  <si>
    <t>BUF</t>
  </si>
  <si>
    <t>Dự phòng sau nghiệm thu</t>
  </si>
  <si>
    <t>Danh sách tài khoản</t>
  </si>
  <si>
    <t>Xử lý thay đổi nhỏ/phát sinh</t>
  </si>
  <si>
    <t>Admin/nhân viên</t>
  </si>
  <si>
    <t>Tạo, khóa và mở tài khoản</t>
  </si>
  <si>
    <t>Admin quản lý được trạng thái tài khoản</t>
  </si>
  <si>
    <t>Hồ sơ cá nhân &amp; quyền truy cập</t>
  </si>
  <si>
    <t>Xem/sửa thông tin cơ bản theo quyền</t>
  </si>
  <si>
    <t>Mỗi nhóm chỉ thấy dữ liệu được phép</t>
  </si>
  <si>
    <t>Trang chủ</t>
  </si>
  <si>
    <t>Thông tin nổi bật, hình ảnh, dịch vụ và lời kêu gọi liên hệ</t>
  </si>
  <si>
    <t>Responsive và nội dung dễ cập nhật</t>
  </si>
  <si>
    <t>Giới thiệu studio</t>
  </si>
  <si>
    <t>Câu chuyện, không gian và thông tin studio</t>
  </si>
  <si>
    <t>Hiển thị tốt trên mobile/desktop</t>
  </si>
  <si>
    <t>Dịch vụ &amp; gói tập công khai</t>
  </si>
  <si>
    <t>Giới thiệu Group, Private và gói tập</t>
  </si>
  <si>
    <t>Khách xem được nội dung/giá do studio công bố</t>
  </si>
  <si>
    <t>Chưa mua gói online</t>
  </si>
  <si>
    <t>Đội ngũ HLV công khai</t>
  </si>
  <si>
    <t>Hình ảnh, giới thiệu và chuyên môn HLV</t>
  </si>
  <si>
    <t>Dữ liệu lấy từ hồ sơ HLV được công khai</t>
  </si>
  <si>
    <t>Lịch lớp công khai</t>
  </si>
  <si>
    <t>Xem lịch lớp theo ngày/tuần</t>
  </si>
  <si>
    <t>Hiển thị lớp còn mở và thông tin cơ bản</t>
  </si>
  <si>
    <t>Khuyến mãi/thông báo chi tiết</t>
  </si>
  <si>
    <t>Danh sách và nội dung thông báo của studio</t>
  </si>
  <si>
    <t>Admin đăng và ẩn nội dung được</t>
  </si>
  <si>
    <t>Liên hệ Zalo/WhatsApp</t>
  </si>
  <si>
    <t>Thành phần</t>
  </si>
  <si>
    <t>Nút liên hệ nhanh theo kênh studio cung cấp</t>
  </si>
  <si>
    <t>Mở đúng kênh và thông tin liên hệ</t>
  </si>
  <si>
    <t>Form đăng ký tư vấn</t>
  </si>
  <si>
    <t>Khách để lại tên, số điện thoại và nhu cầu</t>
  </si>
  <si>
    <t>Tạo được khách hàng quan tâm; chống gửi trùng cơ bản</t>
  </si>
  <si>
    <t>Danh sách/chi tiết khách quan tâm</t>
  </si>
  <si>
    <t>Theo dõi nguồn, nhu cầu và trạng thái tư vấn</t>
  </si>
  <si>
    <t>Nhân viên cập nhật được kết quả tư vấn</t>
  </si>
  <si>
    <t>Danh sách học viên</t>
  </si>
  <si>
    <t>Tìm kiếm và lọc học viên</t>
  </si>
  <si>
    <t>Lọc theo trạng thái/gói; mở được hồ sơ</t>
  </si>
  <si>
    <t>Tạo/chỉnh sửa học viên</t>
  </si>
  <si>
    <t>Thông tin cá nhân và liên hệ</t>
  </si>
  <si>
    <t>Kiểm tra dữ liệu bắt buộc và số điện thoại trùng</t>
  </si>
  <si>
    <t>Chi tiết học viên - tổng quan</t>
  </si>
  <si>
    <t>Thông tin, gói hiện tại, số buổi và cảnh báo</t>
  </si>
  <si>
    <t>Số buổi và thời hạn hiển thị chính xác</t>
  </si>
  <si>
    <t>Tab gói tập &amp; thanh toán</t>
  </si>
  <si>
    <t>Xem các gói và lịch sử thanh toán</t>
  </si>
  <si>
    <t>Đối chiếu được gói với giao dịch</t>
  </si>
  <si>
    <t>Tab lịch sử lớp học</t>
  </si>
  <si>
    <t>Các lớp đã đăng ký, hủy và tham gia</t>
  </si>
  <si>
    <t>Lịch sử đúng theo thời gian và trạng thái</t>
  </si>
  <si>
    <t>Ảnh tiến trình</t>
  </si>
  <si>
    <t>Tải và xem ảnh bắt đầu/hiện tại</t>
  </si>
  <si>
    <t>Ảnh có phân quyền và xem được theo thời điểm</t>
  </si>
  <si>
    <t>Chuyển khách quan tâm thành học viên</t>
  </si>
  <si>
    <t>Thao tác</t>
  </si>
  <si>
    <t>Tạo hồ sơ học viên từ thông tin tư vấn</t>
  </si>
  <si>
    <t>Không nhập lại dữ liệu; giữ lịch sử tư vấn</t>
  </si>
  <si>
    <t>Danh sách HLV</t>
  </si>
  <si>
    <t>Tìm kiếm, trạng thái và số lớp</t>
  </si>
  <si>
    <t>Xem được HLV đang hoạt động</t>
  </si>
  <si>
    <t>Tạo/chỉnh sửa HLV</t>
  </si>
  <si>
    <t>Thông tin, hình ảnh và chuyên môn</t>
  </si>
  <si>
    <t>Cập nhật hồ sơ và trạng thái thành công</t>
  </si>
  <si>
    <t>Chi tiết HLV</t>
  </si>
  <si>
    <t>Hồ sơ, lịch và thống kê tháng</t>
  </si>
  <si>
    <t>Số lớp khớp lịch được phân công</t>
  </si>
  <si>
    <t>Lịch dạy của tôi</t>
  </si>
  <si>
    <t>HLV</t>
  </si>
  <si>
    <t>Xem lịch dạy ngày/tuần và lớp phụ trách</t>
  </si>
  <si>
    <t>HLV chỉ xem lịch/danh sách lớp của mình</t>
  </si>
  <si>
    <t>Danh sách loại gói</t>
  </si>
  <si>
    <t>Lưu ý: Ngày hoàn thành của từng tính năng là mốc hoàn thành phát triển và kiểm tra nội bộ. Nghiệm thu toàn hệ thống diễn ra từ 28/09 đến 02/10. Effort là giờ công của cả team, không phải số giờ theo lịch.</t>
  </si>
  <si>
    <t>Tìm kiếm gói đang bán/ngừng bán</t>
  </si>
  <si>
    <t>Hiển thị đúng giá, số buổi, thời hạn</t>
  </si>
  <si>
    <t>Tạo/chỉnh sửa loại gói</t>
  </si>
  <si>
    <t>Giá, số buổi, thời hạn và loại lớp</t>
  </si>
  <si>
    <t>Không ảnh hưởng gói học viên đã mua</t>
  </si>
  <si>
    <t>Bán/gán gói cho học viên</t>
  </si>
  <si>
    <t>Chọn gói, ngày bắt đầu và ghi nhận giao dịch</t>
  </si>
  <si>
    <t>Tạo gói học viên và cộng đủ số buổi</t>
  </si>
  <si>
    <t>Danh sách/chi tiết thanh toán</t>
  </si>
  <si>
    <t>Ghi nhận chuyển khoản/tiền mặt và trạng thái</t>
  </si>
  <si>
    <t>Tra cứu được người ghi nhận và thời điểm</t>
  </si>
  <si>
    <t>Chưa tích hợp cổng thanh toán</t>
  </si>
  <si>
    <t>Sổ lịch sử cộng/trừ buổi</t>
  </si>
  <si>
    <t>Theo dõi mọi biến động số buổi</t>
  </si>
  <si>
    <t>Số dư bằng tổng các giao dịch cộng/trừ</t>
  </si>
  <si>
    <t>Điều chỉnh số buổi</t>
  </si>
  <si>
    <t>Cộng/trừ thủ công kèm lý do</t>
  </si>
  <si>
    <t>Bắt buộc lý do và lưu người thực hiện</t>
  </si>
  <si>
    <t>Gia hạn gói</t>
  </si>
  <si>
    <t>Gia hạn thời gian hoặc bán gói tiếp theo</t>
  </si>
  <si>
    <t>Lịch sử gói cũ được giữ nguyên</t>
  </si>
  <si>
    <t>Lịch lớp ngày/tuần</t>
  </si>
  <si>
    <t>Calendar lớp Group/Private</t>
  </si>
  <si>
    <t>Lọc được HLV/loại lớp; hiển thị chỗ trống</t>
  </si>
  <si>
    <t>Tạo/chỉnh sửa lớp</t>
  </si>
  <si>
    <t>Ngày giờ, HLV, sức chứa và loại lớp</t>
  </si>
  <si>
    <t>Kiểm tra dữ liệu và tránh trùng lịch</t>
  </si>
  <si>
    <t>Tạo lịch lặp lại</t>
  </si>
  <si>
    <t>Tạo nhiều buổi theo quy tắc tuần</t>
  </si>
  <si>
    <t>Xem trước và xử lý buổi bị trùng</t>
  </si>
  <si>
    <t>Chi tiết lớp &amp; danh sách học viên</t>
  </si>
  <si>
    <t>Admin/nhân viên/HLV</t>
  </si>
  <si>
    <t>Thông tin lớp, HLV, chỗ trống và người đăng ký</t>
  </si>
  <si>
    <t>Danh sách cập nhật theo booking</t>
  </si>
  <si>
    <t>Phân công/thay HLV</t>
  </si>
  <si>
    <t>Đổi HLV và cập nhật lịch liên quan</t>
  </si>
  <si>
    <t>Không cho phép HLV bị trùng giờ</t>
  </si>
  <si>
    <t>Sửa/hủy lớp &amp; xử lý xung đột</t>
  </si>
  <si>
    <t>Thay đổi lịch hoặc hủy lớp có người đăng ký</t>
  </si>
  <si>
    <t>Cập nhật booking và số buổi theo quy định</t>
  </si>
  <si>
    <t>Danh sách lớp cho học viên</t>
  </si>
  <si>
    <t>Học viên</t>
  </si>
  <si>
    <t>Xem lớp phù hợp và số chỗ còn lại</t>
  </si>
  <si>
    <t>Chỉ hiển thị lớp có thể đăng ký theo gói</t>
  </si>
  <si>
    <t>Chi tiết lớp &amp; đăng ký</t>
  </si>
  <si>
    <t>Xem thông tin và xác nhận đăng ký</t>
  </si>
  <si>
    <t>Kiểm tra hạn/số buổi/chỗ và trừ buổi an toàn</t>
  </si>
  <si>
    <t>Có xử lý đặt chỗ đồng thời</t>
  </si>
  <si>
    <t>Lịch của tôi</t>
  </si>
  <si>
    <t>Xem lịch sắp tới và lịch sử đăng ký</t>
  </si>
  <si>
    <t>Trạng thái lớp và thao tác phù hợp theo thời gian</t>
  </si>
  <si>
    <t>Hủy/đổi lớp</t>
  </si>
  <si>
    <t>Hủy đúng hạn, hủy muộn hoặc đổi lớp</t>
  </si>
  <si>
    <t>Hoàn/không hoàn buổi đúng quy định</t>
  </si>
  <si>
    <t>Đăng ký chờ và nhận chỗ khi lớp trống</t>
  </si>
  <si>
    <t>Thứ tự chờ rõ ràng; không vượt sức chứa</t>
  </si>
  <si>
    <t>Quản lý danh sách lớp/chờ</t>
  </si>
  <si>
    <t>Chuyển người chờ, hủy và xem lịch sử</t>
  </si>
  <si>
    <t>Mọi thay đổi lưu người thực hiện</t>
  </si>
  <si>
    <t>Đăng ký thay học viên</t>
  </si>
  <si>
    <t>Tìm học viên và đặt/hủy/đổi thay</t>
  </si>
  <si>
    <t>Áp dụng cùng quy tắc số buổi và sức chứa</t>
  </si>
  <si>
    <t>Dashboard nhắc gia hạn</t>
  </si>
  <si>
    <t>Tổng hợp số người cần liên hệ</t>
  </si>
  <si>
    <t>Hiển thị đúng ngưỡng 6 buổi/15 ngày</t>
  </si>
  <si>
    <t>Danh sách học viên sắp hết gói</t>
  </si>
  <si>
    <t>Lọc theo số buổi, hạn và trạng thái liên hệ</t>
  </si>
  <si>
    <t>Danh sách cập nhật theo dữ liệu gói</t>
  </si>
  <si>
    <t>Cập nhật kết quả liên hệ</t>
  </si>
  <si>
    <t>Ghi đã liên hệ, kết quả và ngày hẹn lại</t>
  </si>
  <si>
    <t>Lưu lịch sử chăm sóc cơ bản</t>
  </si>
  <si>
    <t>Chưa gửi tin tự động</t>
  </si>
  <si>
    <t>Dashboard quản lý</t>
  </si>
  <si>
    <t>Học viên, lớp, booking, doanh thu và cảnh báo</t>
  </si>
  <si>
    <t>Số liệu đối chiếu được với danh sách chi tiết</t>
  </si>
  <si>
    <t>Báo cáo doanh thu</t>
  </si>
  <si>
    <t>Doanh thu theo khoảng thời gian và phương thức</t>
  </si>
  <si>
    <t>Chỉ tính giao dịch đã xác nhận</t>
  </si>
  <si>
    <t>Báo cáo lớp &amp; đăng ký</t>
  </si>
  <si>
    <t>Số lớp, lượt đăng ký và mức lấp đầy</t>
  </si>
  <si>
    <t>Bộ lọc thời gian hoạt động đúng</t>
  </si>
  <si>
    <t>Báo cáo HLV &amp; xuất dữ liệu</t>
  </si>
  <si>
    <t>Số lớp theo HLV và xuất CSV/Excel</t>
  </si>
  <si>
    <t>File xuất khớp bộ lọc và dữ liệu màn hình</t>
  </si>
  <si>
    <t>Test luồng mua gói → đăng ký → trừ buổi</t>
  </si>
  <si>
    <t>Kiểm thử</t>
  </si>
  <si>
    <t>Cả hệ thống</t>
  </si>
  <si>
    <t>Kiểm thử end-to-end luồng vận hành chính</t>
  </si>
  <si>
    <t>Không còn lỗi nghiêm trọng ở luồng chính</t>
  </si>
  <si>
    <t>Test phân quyền, đồng thời &amp; số buổi</t>
  </si>
  <si>
    <t>Kiểm tra truy cập dữ liệu, đặt chỗ cuối và hoàn buổi</t>
  </si>
  <si>
    <t>Không sai số dư và không vượt sức chứa</t>
  </si>
  <si>
    <t>Test mobile, dữ liệu cá nhân &amp; hiệu năng cơ bản</t>
  </si>
  <si>
    <t>Kiểm tra responsive và bảo vệ dữ liệu học viên</t>
  </si>
  <si>
    <t>Các màn hình chính dùng tốt trên điện thoại</t>
  </si>
  <si>
    <t>UAT, sửa lỗi, nhập dữ liệu &amp; triển khai</t>
  </si>
  <si>
    <t>Nghiệm thu</t>
  </si>
  <si>
    <t>Khách nghiệm thu, hướng dẫn và đưa lên PROD</t>
  </si>
  <si>
    <t>Khách xác nhận; hệ thống hoạt động trên PROD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</si>
</sst>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dd/mm/yyyy"/>
    <numFmt numFmtId="165" formatCode="dd/mm"/>
    <numFmt numFmtId="166" formatCode="#,##0.0"/>
  </numFmts>
  <fonts count="13">
    <font>
      <sz val="11.0"/>
      <color rgb="FF000000"/>
      <name val="Carlito"/>
      <scheme val="minor"/>
    </font>
    <font>
      <b/>
      <sz val="18.0"/>
      <color rgb="FFFFFFFF"/>
      <name val="Aptos"/>
    </font>
    <font>
      <sz val="11.0"/>
      <color theme="1"/>
      <name val="Aptos"/>
    </font>
    <font>
      <i/>
      <sz val="10.0"/>
      <color rgb="FF667085"/>
      <name val="Aptos"/>
    </font>
    <font>
      <b/>
      <sz val="11.0"/>
      <color rgb="FFFFFFFF"/>
      <name val="Aptos"/>
    </font>
    <font>
      <sz val="10.0"/>
      <color rgb="FF344054"/>
      <name val="Aptos"/>
    </font>
    <font>
      <b/>
      <sz val="11.0"/>
      <color rgb="FF17324D"/>
      <name val="Aptos"/>
    </font>
    <font>
      <sz val="9.0"/>
      <color rgb="FF344054"/>
      <name val="Aptos"/>
    </font>
    <font>
      <b/>
      <sz val="13.0"/>
      <color rgb="FF0F766E"/>
      <name val="Aptos"/>
    </font>
    <font>
      <sz val="11.0"/>
      <color rgb="FF991B1B"/>
      <name val="Aptos"/>
    </font>
    <font>
      <b/>
      <sz val="13.0"/>
      <color rgb="FFF59E0B"/>
      <name val="Aptos"/>
    </font>
    <font>
      <i/>
      <sz val="10.0"/>
      <color rgb="FF92400E"/>
      <name val="Aptos"/>
    </font>
    <font>
      <i/>
      <sz val="11.0"/>
      <color rgb="FF9A3412"/>
      <name val="Aptos"/>
    </font>
  </fonts>
  <fills count="10">
    <fill>
      <patternFill patternType="none"/>
    </fill>
    <fill>
      <patternFill patternType="lightGray"/>
    </fill>
    <fill>
      <patternFill patternType="solid">
        <fgColor rgb="FF17324D"/>
        <bgColor rgb="FF17324D"/>
      </patternFill>
    </fill>
    <fill>
      <patternFill patternType="solid">
        <fgColor rgb="FFF2F4F7"/>
        <bgColor rgb="FFF2F4F7"/>
      </patternFill>
    </fill>
    <fill>
      <patternFill patternType="solid">
        <fgColor rgb="FF0F766E"/>
        <bgColor rgb="FF0F766E"/>
      </patternFill>
    </fill>
    <fill>
      <patternFill patternType="solid">
        <fgColor rgb="FFF8FAFC"/>
        <bgColor rgb="FFF8FAFC"/>
      </patternFill>
    </fill>
    <fill>
      <patternFill patternType="solid">
        <fgColor rgb="FFDDF4F1"/>
        <bgColor rgb="FFDDF4F1"/>
      </patternFill>
    </fill>
    <fill>
      <patternFill patternType="solid">
        <fgColor rgb="FFFEF2F2"/>
        <bgColor rgb="FFFEF2F2"/>
      </patternFill>
    </fill>
    <fill>
      <patternFill patternType="solid">
        <fgColor rgb="FFFEF3C7"/>
        <bgColor rgb="FFFEF3C7"/>
      </patternFill>
    </fill>
    <fill>
      <patternFill patternType="solid">
        <fgColor rgb="FFFFF7ED"/>
        <bgColor rgb="FFFFF7ED"/>
      </patternFill>
    </fill>
  </fills>
  <borders count="13">
    <border/>
    <border>
      <left style="thin">
        <color rgb="FFB8C6C3"/>
      </left>
      <right style="thin">
        <color rgb="FFB8C6C3"/>
      </right>
      <top style="thin">
        <color rgb="FFB8C6C3"/>
      </top>
      <bottom style="thin">
        <color rgb="FFB8C6C3"/>
      </bottom>
    </border>
    <border>
      <right style="thin">
        <color rgb="FFEAECF0"/>
      </right>
      <bottom style="thin">
        <color rgb="FFD0D5DD"/>
      </bottom>
    </border>
    <border>
      <left style="thin">
        <color rgb="FFEAECF0"/>
      </left>
      <right style="thin">
        <color rgb="FFEAECF0"/>
      </right>
      <bottom style="thin">
        <color rgb="FFD0D5DD"/>
      </bottom>
    </border>
    <border>
      <left style="thin">
        <color rgb="FFD0D5DD"/>
      </left>
      <top style="thin">
        <color rgb="FFD0D5DD"/>
      </top>
      <bottom style="thin">
        <color rgb="FFD0D5DD"/>
      </bottom>
    </border>
    <border>
      <top style="thin">
        <color rgb="FFD0D5DD"/>
      </top>
      <bottom style="thin">
        <color rgb="FFD0D5DD"/>
      </bottom>
    </border>
    <border>
      <left style="thin">
        <color rgb="FFEAECF0"/>
      </left>
      <bottom style="thin">
        <color rgb="FFD0D5DD"/>
      </bottom>
    </border>
    <border>
      <right style="thin">
        <color rgb="FFEAECF0"/>
      </right>
      <top style="medium">
        <color rgb="FF0F766E"/>
      </top>
      <bottom style="thin">
        <color rgb="FFD0D5DD"/>
      </bottom>
    </border>
    <border>
      <right style="thin">
        <color rgb="FFEAECF0"/>
      </right>
      <top style="thin">
        <color rgb="FFD0D5DD"/>
      </top>
      <bottom style="thin">
        <color rgb="FFD0D5DD"/>
      </bottom>
    </border>
    <border>
      <left style="thin">
        <color rgb="FFEAECF0"/>
      </left>
      <right style="thin">
        <color rgb="FFEAECF0"/>
      </right>
      <top style="thin">
        <color rgb="FFD0D5DD"/>
      </top>
      <bottom style="thin">
        <color rgb="FFD0D5DD"/>
      </bottom>
    </border>
    <border>
      <left style="thin">
        <color rgb="FFEAECF0"/>
      </left>
      <right style="thin">
        <color rgb="FFEAECF0"/>
      </right>
      <top style="medium">
        <color rgb="FF0F766E"/>
      </top>
      <bottom style="thin">
        <color rgb="FFD0D5DD"/>
      </bottom>
    </border>
    <border>
      <left style="thin">
        <color rgb="FFEAECF0"/>
      </left>
      <top style="thin">
        <color rgb="FFD0D5DD"/>
      </top>
      <bottom style="thin">
        <color rgb="FFD0D5DD"/>
      </bottom>
    </border>
    <border>
      <right style="thin">
        <color rgb="FFD0D5DD"/>
      </right>
      <top style="thin">
        <color rgb="FFD0D5DD"/>
      </top>
      <bottom style="thin">
        <color rgb="FFD0D5DD"/>
      </bottom>
    </border>
  </borders>
  <cellStyleXfs count="1">
    <xf borderId="0" fillId="0" fontId="0" numFmtId="0" applyAlignment="1" applyFont="1"/>
  </cellStyleXfs>
  <cellXfs count="60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vertical="center"/>
    </xf>
    <xf borderId="0" fillId="0" fontId="2" numFmtId="0" xfId="0" applyFont="1"/>
    <xf borderId="0" fillId="3" fontId="3" numFmtId="0" xfId="0" applyAlignment="1" applyFill="1" applyFont="1">
      <alignment shrinkToFit="0" vertical="center" wrapText="1"/>
    </xf>
    <xf borderId="1" fillId="4" fontId="4" numFmtId="0" xfId="0" applyAlignment="1" applyBorder="1" applyFill="1" applyFont="1">
      <alignment horizontal="center" shrinkToFit="0" vertical="center" wrapText="1"/>
    </xf>
    <xf borderId="2" fillId="0" fontId="5" numFmtId="0" xfId="0" applyAlignment="1" applyBorder="1" applyFont="1">
      <alignment shrinkToFit="0" vertical="center" wrapText="1"/>
    </xf>
    <xf borderId="3" fillId="0" fontId="5" numFmtId="0" xfId="0" applyAlignment="1" applyBorder="1" applyFont="1">
      <alignment shrinkToFit="0" vertical="center" wrapText="1"/>
    </xf>
    <xf borderId="4" fillId="5" fontId="6" numFmtId="164" xfId="0" applyAlignment="1" applyBorder="1" applyFill="1" applyFont="1" applyNumberFormat="1">
      <alignment horizontal="center" shrinkToFit="0" vertical="center" wrapText="1"/>
    </xf>
    <xf borderId="5" fillId="5" fontId="6" numFmtId="164" xfId="0" applyAlignment="1" applyBorder="1" applyFill="1" applyFont="1" applyNumberFormat="1">
      <alignment horizontal="center" shrinkToFit="0" vertical="center" wrapText="1"/>
    </xf>
    <xf borderId="6" fillId="0" fontId="5" numFmtId="164" xfId="0" applyAlignment="1" applyBorder="1" applyFont="1" applyNumberFormat="1">
      <alignment shrinkToFit="0" vertical="center" wrapText="1"/>
    </xf>
    <xf borderId="7" fillId="0" fontId="7" numFmtId="0" xfId="0" applyAlignment="1" applyBorder="1" applyFont="1">
      <alignment shrinkToFit="0" vertical="center" wrapText="1"/>
    </xf>
    <xf borderId="5" fillId="5" fontId="6" numFmtId="0" xfId="0" applyAlignment="1" applyBorder="1" applyFill="1" applyFont="1">
      <alignment horizontal="center" shrinkToFit="0" vertical="center" wrapText="1"/>
    </xf>
    <xf borderId="1" fillId="4" fontId="4" numFmtId="165" xfId="0" applyAlignment="1" applyBorder="1" applyFill="1" applyFont="1" applyNumberFormat="1">
      <alignment horizontal="center" shrinkToFit="0" vertical="center" wrapText="1"/>
    </xf>
    <xf borderId="8" fillId="0" fontId="5" numFmtId="0" xfId="0" applyAlignment="1" applyBorder="1" applyFont="1">
      <alignment shrinkToFit="0" vertical="center" wrapText="1"/>
    </xf>
    <xf borderId="5" fillId="5" fontId="6" numFmtId="166" xfId="0" applyAlignment="1" applyBorder="1" applyFill="1" applyFont="1" applyNumberFormat="1">
      <alignment horizontal="center" shrinkToFit="0" vertical="center" wrapText="1"/>
    </xf>
    <xf borderId="9" fillId="0" fontId="5" numFmtId="0" xfId="0" applyAlignment="1" applyBorder="1" applyFont="1">
      <alignment shrinkToFit="0" vertical="center" wrapText="1"/>
    </xf>
    <xf borderId="10" fillId="0" fontId="7" numFmtId="0" xfId="0" applyAlignment="1" applyBorder="1" applyFont="1">
      <alignment shrinkToFit="0" vertical="center" wrapText="1"/>
    </xf>
    <xf borderId="11" fillId="0" fontId="5" numFmtId="164" xfId="0" applyAlignment="1" applyBorder="1" applyFont="1" applyNumberFormat="1">
      <alignment shrinkToFit="0" vertical="center" wrapText="1"/>
    </xf>
    <xf borderId="10" fillId="0" fontId="7" numFmtId="164" xfId="0" applyAlignment="1" applyBorder="1" applyFont="1" applyNumberFormat="1">
      <alignment shrinkToFit="0" vertical="center" wrapText="1"/>
    </xf>
    <xf borderId="3" fillId="6" fontId="8" numFmtId="0" xfId="0" applyAlignment="1" applyBorder="1" applyFill="1" applyFont="1">
      <alignment horizontal="center" shrinkToFit="0" vertical="center" wrapText="1"/>
    </xf>
    <xf borderId="3" fillId="0" fontId="2" numFmtId="0" xfId="0" applyAlignment="1" applyBorder="1" applyFont="1">
      <alignment shrinkToFit="0" wrapText="1"/>
    </xf>
    <xf borderId="10" fillId="0" fontId="7" numFmtId="3" xfId="0" applyAlignment="1" applyBorder="1" applyFont="1" applyNumberFormat="1">
      <alignment shrinkToFit="0" vertical="center" wrapText="1"/>
    </xf>
    <xf borderId="6" fillId="0" fontId="2" numFmtId="0" xfId="0" applyAlignment="1" applyBorder="1" applyFont="1">
      <alignment shrinkToFit="0" wrapText="1"/>
    </xf>
    <xf borderId="10" fillId="0" fontId="7" numFmtId="166" xfId="0" applyAlignment="1" applyBorder="1" applyFont="1" applyNumberFormat="1">
      <alignment shrinkToFit="0" vertical="center" wrapText="1"/>
    </xf>
    <xf borderId="9" fillId="6" fontId="8" numFmtId="0" xfId="0" applyAlignment="1" applyBorder="1" applyFill="1" applyFont="1">
      <alignment horizontal="center" shrinkToFit="0" vertical="center" wrapText="1"/>
    </xf>
    <xf borderId="9" fillId="0" fontId="2" numFmtId="0" xfId="0" applyAlignment="1" applyBorder="1" applyFont="1">
      <alignment shrinkToFit="0" wrapText="1"/>
    </xf>
    <xf borderId="12" fillId="5" fontId="6" numFmtId="0" xfId="0" applyAlignment="1" applyBorder="1" applyFill="1" applyFont="1">
      <alignment horizontal="center" shrinkToFit="0" vertical="center" wrapText="1"/>
    </xf>
    <xf borderId="11" fillId="0" fontId="2" numFmtId="0" xfId="0" applyAlignment="1" applyBorder="1" applyFont="1">
      <alignment shrinkToFit="0" wrapText="1"/>
    </xf>
    <xf borderId="8" fillId="0" fontId="7" numFmtId="0" xfId="0" applyAlignment="1" applyBorder="1" applyFont="1">
      <alignment shrinkToFit="0" vertical="center" wrapText="1"/>
    </xf>
    <xf borderId="9" fillId="0" fontId="7" numFmtId="0" xfId="0" applyAlignment="1" applyBorder="1" applyFont="1">
      <alignment shrinkToFit="0" vertical="center" wrapText="1"/>
    </xf>
    <xf borderId="9" fillId="0" fontId="7" numFmtId="164" xfId="0" applyAlignment="1" applyBorder="1" applyFont="1" applyNumberFormat="1">
      <alignment shrinkToFit="0" vertical="center" wrapText="1"/>
    </xf>
    <xf borderId="9" fillId="0" fontId="7" numFmtId="3" xfId="0" applyAlignment="1" applyBorder="1" applyFont="1" applyNumberFormat="1">
      <alignment shrinkToFit="0" vertical="center" wrapText="1"/>
    </xf>
    <xf borderId="0" fillId="2" fontId="4" numFmtId="0" xfId="0" applyAlignment="1" applyFill="1" applyFont="1">
      <alignment vertical="center"/>
    </xf>
    <xf borderId="2" fillId="7" fontId="9" numFmtId="0" xfId="0" applyAlignment="1" applyBorder="1" applyFill="1" applyFont="1">
      <alignment shrinkToFit="0" vertical="center" wrapText="1"/>
    </xf>
    <xf borderId="9" fillId="0" fontId="7" numFmtId="166" xfId="0" applyAlignment="1" applyBorder="1" applyFont="1" applyNumberFormat="1">
      <alignment shrinkToFit="0" vertical="center" wrapText="1"/>
    </xf>
    <xf borderId="3" fillId="7" fontId="9" numFmtId="0" xfId="0" applyAlignment="1" applyBorder="1" applyFill="1" applyFont="1">
      <alignment shrinkToFit="0" vertical="center" wrapText="1"/>
    </xf>
    <xf borderId="3" fillId="0" fontId="5" numFmtId="3" xfId="0" applyAlignment="1" applyBorder="1" applyFont="1" applyNumberFormat="1">
      <alignment shrinkToFit="0" vertical="center" wrapText="1"/>
    </xf>
    <xf borderId="6" fillId="7" fontId="9" numFmtId="0" xfId="0" applyAlignment="1" applyBorder="1" applyFill="1" applyFont="1">
      <alignment shrinkToFit="0" vertical="center" wrapText="1"/>
    </xf>
    <xf borderId="3" fillId="0" fontId="5" numFmtId="164" xfId="0" applyAlignment="1" applyBorder="1" applyFont="1" applyNumberFormat="1">
      <alignment shrinkToFit="0" vertical="center" wrapText="1"/>
    </xf>
    <xf borderId="8" fillId="7" fontId="9" numFmtId="0" xfId="0" applyAlignment="1" applyBorder="1" applyFill="1" applyFont="1">
      <alignment shrinkToFit="0" vertical="center" wrapText="1"/>
    </xf>
    <xf borderId="11" fillId="0" fontId="7" numFmtId="0" xfId="0" applyAlignment="1" applyBorder="1" applyFont="1">
      <alignment shrinkToFit="0" vertical="center" wrapText="1"/>
    </xf>
    <xf borderId="9" fillId="7" fontId="9" numFmtId="0" xfId="0" applyAlignment="1" applyBorder="1" applyFill="1" applyFont="1">
      <alignment shrinkToFit="0" vertical="center" wrapText="1"/>
    </xf>
    <xf borderId="11" fillId="7" fontId="9" numFmtId="0" xfId="0" applyAlignment="1" applyBorder="1" applyFill="1" applyFont="1">
      <alignment shrinkToFit="0" vertical="center" wrapText="1"/>
    </xf>
    <xf borderId="3" fillId="0" fontId="5" numFmtId="166" xfId="0" applyAlignment="1" applyBorder="1" applyFont="1" applyNumberFormat="1">
      <alignment shrinkToFit="0" vertical="center" wrapText="1"/>
    </xf>
    <xf borderId="6" fillId="0" fontId="5" numFmtId="0" xfId="0" applyAlignment="1" applyBorder="1" applyFont="1">
      <alignment shrinkToFit="0" vertical="center" wrapText="1"/>
    </xf>
    <xf borderId="9" fillId="0" fontId="5" numFmtId="3" xfId="0" applyAlignment="1" applyBorder="1" applyFont="1" applyNumberFormat="1">
      <alignment shrinkToFit="0" vertical="center" wrapText="1"/>
    </xf>
    <xf borderId="9" fillId="0" fontId="5" numFmtId="164" xfId="0" applyAlignment="1" applyBorder="1" applyFont="1" applyNumberFormat="1">
      <alignment shrinkToFit="0" vertical="center" wrapText="1"/>
    </xf>
    <xf borderId="9" fillId="0" fontId="5" numFmtId="166" xfId="0" applyAlignment="1" applyBorder="1" applyFont="1" applyNumberFormat="1">
      <alignment shrinkToFit="0" vertical="center" wrapText="1"/>
    </xf>
    <xf borderId="8" fillId="8" fontId="5" numFmtId="0" xfId="0" applyAlignment="1" applyBorder="1" applyFill="1" applyFont="1">
      <alignment shrinkToFit="0" vertical="center" wrapText="1"/>
    </xf>
    <xf borderId="9" fillId="8" fontId="5" numFmtId="0" xfId="0" applyAlignment="1" applyBorder="1" applyFill="1" applyFont="1">
      <alignment shrinkToFit="0" vertical="center" wrapText="1"/>
    </xf>
    <xf borderId="9" fillId="8" fontId="2" numFmtId="0" xfId="0" applyAlignment="1" applyBorder="1" applyFill="1" applyFont="1">
      <alignment shrinkToFit="0" wrapText="1"/>
    </xf>
    <xf borderId="11" fillId="8" fontId="10" numFmtId="0" xfId="0" applyAlignment="1" applyBorder="1" applyFill="1" applyFont="1">
      <alignment horizontal="center" shrinkToFit="0" vertical="center" wrapText="1"/>
    </xf>
    <xf borderId="11" fillId="0" fontId="5" numFmtId="0" xfId="0" applyAlignment="1" applyBorder="1" applyFont="1">
      <alignment shrinkToFit="0" vertical="center" wrapText="1"/>
    </xf>
    <xf borderId="8" fillId="8" fontId="11" numFmtId="0" xfId="0" applyAlignment="1" applyBorder="1" applyFill="1" applyFont="1">
      <alignment shrinkToFit="0" vertical="center" wrapText="1"/>
    </xf>
    <xf borderId="9" fillId="8" fontId="11" numFmtId="0" xfId="0" applyAlignment="1" applyBorder="1" applyFill="1" applyFont="1">
      <alignment shrinkToFit="0" vertical="center" wrapText="1"/>
    </xf>
    <xf borderId="9" fillId="8" fontId="11" numFmtId="3" xfId="0" applyAlignment="1" applyBorder="1" applyFill="1" applyFont="1" applyNumberFormat="1">
      <alignment shrinkToFit="0" vertical="center" wrapText="1"/>
    </xf>
    <xf borderId="9" fillId="8" fontId="11" numFmtId="164" xfId="0" applyAlignment="1" applyBorder="1" applyFill="1" applyFont="1" applyNumberFormat="1">
      <alignment shrinkToFit="0" vertical="center" wrapText="1"/>
    </xf>
    <xf borderId="9" fillId="8" fontId="11" numFmtId="166" xfId="0" applyAlignment="1" applyBorder="1" applyFill="1" applyFont="1" applyNumberFormat="1">
      <alignment shrinkToFit="0" vertical="center" wrapText="1"/>
    </xf>
    <xf borderId="11" fillId="8" fontId="11" numFmtId="0" xfId="0" applyAlignment="1" applyBorder="1" applyFill="1" applyFont="1">
      <alignment shrinkToFit="0" vertical="center" wrapText="1"/>
    </xf>
    <xf borderId="0" fillId="9" fontId="12" numFmtId="0" xfId="0" applyAlignment="1" applyFill="1" applyFont="1">
      <alignment shrinkToFit="0" vertical="center" wrapText="1"/>
    </xf>
  </cellXfs>
  <cellStyles count="1">
    <cellStyle xfId="0" name="Normal" builtinId="0"/>
  </cellStyles>
  <dxfs count="3">
    <dxf>
      <font>
        <b/>
        <color rgb="FF16A34A"/>
      </font>
      <fill>
        <patternFill patternType="solid">
          <fgColor rgb="FFDCFCE7"/>
          <bgColor rgb="FFDCFCE7"/>
        </patternFill>
      </fill>
      <border/>
    </dxf>
    <dxf>
      <font>
        <b/>
        <color rgb="FF175CD3"/>
      </font>
      <fill>
        <patternFill patternType="solid">
          <fgColor rgb="FFE8F0F8"/>
          <bgColor rgb="FFE8F0F8"/>
        </patternFill>
      </fill>
      <border/>
    </dxf>
    <dxf>
      <font>
        <b/>
        <color rgb="FFB54708"/>
      </font>
      <fill>
        <patternFill patternType="solid">
          <fgColor rgb="FFFEF3C7"/>
          <bgColor rgb="FFFEF3C7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0.0"/>
    <col customWidth="1" min="2" max="2" width="31.0"/>
    <col customWidth="1" min="3" max="3" width="14.0"/>
    <col customWidth="1" min="4" max="5" width="13.0"/>
    <col customWidth="1" min="6" max="10" width="12.0"/>
    <col customWidth="1" min="11" max="11" width="36.0"/>
    <col customWidth="1" min="12" max="12" width="16.0"/>
    <col customWidth="1" min="13" max="26" width="8.63"/>
  </cols>
  <sheetData>
    <row r="1" ht="33.75" customHeight="1">
      <c r="A1" s="1" t="s">
        <v>1</v>
      </c>
      <c r="L1" s="2"/>
    </row>
    <row r="2" ht="30.0" customHeight="1">
      <c r="A2" s="3" t="s">
        <v>6</v>
      </c>
      <c r="L2" s="2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ht="31.5" customHeight="1">
      <c r="A4" s="4" t="s">
        <v>9</v>
      </c>
      <c r="B4" s="4" t="s">
        <v>12</v>
      </c>
      <c r="C4" s="4" t="s">
        <v>17</v>
      </c>
      <c r="D4" s="4" t="s">
        <v>21</v>
      </c>
      <c r="E4" s="4" t="s">
        <v>24</v>
      </c>
      <c r="F4" s="4" t="s">
        <v>27</v>
      </c>
      <c r="G4" s="4" t="s">
        <v>30</v>
      </c>
      <c r="H4" s="4" t="s">
        <v>33</v>
      </c>
      <c r="I4" s="4" t="s">
        <v>36</v>
      </c>
      <c r="J4" s="4" t="s">
        <v>39</v>
      </c>
      <c r="K4" s="4" t="s">
        <v>43</v>
      </c>
      <c r="L4" s="2"/>
    </row>
    <row r="5" ht="37.5" customHeight="1">
      <c r="A5" s="7">
        <v>46243.5</v>
      </c>
      <c r="B5" s="8">
        <v>46297.5</v>
      </c>
      <c r="C5" s="11" t="s">
        <v>57</v>
      </c>
      <c r="D5" s="14">
        <v>11.0</v>
      </c>
      <c r="E5" s="14">
        <f>COUNTA('Chi tiết màn hình'!$B$5:$B$62)</f>
        <v>58</v>
      </c>
      <c r="F5" s="14">
        <f>SUM('Chi tiết màn hình'!$N$5:$N$62)</f>
        <v>527</v>
      </c>
      <c r="G5" s="14">
        <f>SUM('Chi tiết màn hình'!$K$5:$K$62)</f>
        <v>117</v>
      </c>
      <c r="H5" s="14">
        <f>SUM('Chi tiết màn hình'!$L$5:$L$62)</f>
        <v>215</v>
      </c>
      <c r="I5" s="14">
        <f>SUM('Chi tiết màn hình'!$M$5:$M$62)</f>
        <v>195</v>
      </c>
      <c r="J5" s="11" t="s">
        <v>96</v>
      </c>
      <c r="K5" s="26" t="s">
        <v>99</v>
      </c>
      <c r="L5" s="2"/>
    </row>
    <row r="6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ht="31.5" customHeight="1">
      <c r="A7" s="4" t="s">
        <v>10</v>
      </c>
      <c r="B7" s="4" t="s">
        <v>14</v>
      </c>
      <c r="C7" s="4" t="s">
        <v>109</v>
      </c>
      <c r="D7" s="4" t="s">
        <v>29</v>
      </c>
      <c r="E7" s="4" t="s">
        <v>32</v>
      </c>
      <c r="F7" s="4" t="s">
        <v>37</v>
      </c>
      <c r="G7" s="4" t="s">
        <v>30</v>
      </c>
      <c r="H7" s="4" t="s">
        <v>116</v>
      </c>
      <c r="I7" s="4" t="s">
        <v>117</v>
      </c>
      <c r="J7" s="4" t="s">
        <v>119</v>
      </c>
      <c r="K7" s="4" t="s">
        <v>16</v>
      </c>
      <c r="L7" s="4" t="s">
        <v>56</v>
      </c>
    </row>
    <row r="8">
      <c r="A8" s="5" t="s">
        <v>58</v>
      </c>
      <c r="B8" s="6" t="s">
        <v>68</v>
      </c>
      <c r="C8" s="36">
        <f>COUNTIF('Chi tiết màn hình'!$A$5:$A$62,A8)</f>
        <v>3</v>
      </c>
      <c r="D8" s="38">
        <v>46243.5</v>
      </c>
      <c r="E8" s="38">
        <v>46248.5</v>
      </c>
      <c r="F8" s="43">
        <f t="shared" ref="F8:F19" si="1">E8-D8+1</f>
        <v>6</v>
      </c>
      <c r="G8" s="43">
        <f>SUMIF('Chi tiết màn hình'!$A$5:$A$62,A8,'Chi tiết màn hình'!$K$5:$K$62)</f>
        <v>18</v>
      </c>
      <c r="H8" s="43">
        <f>SUMIF('Chi tiết màn hình'!$A$5:$A$62,A8,'Chi tiết màn hình'!$L$5:$L$62)</f>
        <v>22</v>
      </c>
      <c r="I8" s="43">
        <f>SUMIF('Chi tiết màn hình'!$A$5:$A$62,A8,'Chi tiết màn hình'!$M$5:$M$62)</f>
        <v>14</v>
      </c>
      <c r="J8" s="43">
        <f t="shared" ref="J8:J19" si="2">SUM(G8:I8)</f>
        <v>54</v>
      </c>
      <c r="K8" s="6" t="s">
        <v>69</v>
      </c>
      <c r="L8" s="44" t="s">
        <v>99</v>
      </c>
    </row>
    <row r="9">
      <c r="A9" s="13" t="s">
        <v>86</v>
      </c>
      <c r="B9" s="15" t="s">
        <v>88</v>
      </c>
      <c r="C9" s="45">
        <f>COUNTIF('Chi tiết màn hình'!$A$5:$A$62,A9)</f>
        <v>4</v>
      </c>
      <c r="D9" s="46">
        <v>46244.5</v>
      </c>
      <c r="E9" s="46">
        <v>46248.5</v>
      </c>
      <c r="F9" s="47">
        <f t="shared" si="1"/>
        <v>5</v>
      </c>
      <c r="G9" s="47">
        <f>SUMIF('Chi tiết màn hình'!$A$5:$A$62,A9,'Chi tiết màn hình'!$K$5:$K$62)</f>
        <v>5</v>
      </c>
      <c r="H9" s="47">
        <f>SUMIF('Chi tiết màn hình'!$A$5:$A$62,A9,'Chi tiết màn hình'!$L$5:$L$62)</f>
        <v>15</v>
      </c>
      <c r="I9" s="47">
        <f>SUMIF('Chi tiết màn hình'!$A$5:$A$62,A9,'Chi tiết màn hình'!$M$5:$M$62)</f>
        <v>14</v>
      </c>
      <c r="J9" s="47">
        <f t="shared" si="2"/>
        <v>34</v>
      </c>
      <c r="K9" s="15" t="s">
        <v>91</v>
      </c>
      <c r="L9" s="52" t="s">
        <v>99</v>
      </c>
    </row>
    <row r="10">
      <c r="A10" s="13" t="s">
        <v>101</v>
      </c>
      <c r="B10" s="15" t="s">
        <v>103</v>
      </c>
      <c r="C10" s="45">
        <f>COUNTIF('Chi tiết màn hình'!$A$5:$A$62,A10)</f>
        <v>9</v>
      </c>
      <c r="D10" s="46">
        <v>46251.5</v>
      </c>
      <c r="E10" s="46">
        <v>46255.5</v>
      </c>
      <c r="F10" s="47">
        <f t="shared" si="1"/>
        <v>5</v>
      </c>
      <c r="G10" s="47">
        <f>SUMIF('Chi tiết màn hình'!$A$5:$A$62,A10,'Chi tiết màn hình'!$K$5:$K$62)</f>
        <v>6.5</v>
      </c>
      <c r="H10" s="47">
        <f>SUMIF('Chi tiết màn hình'!$A$5:$A$62,A10,'Chi tiết màn hình'!$L$5:$L$62)</f>
        <v>8.5</v>
      </c>
      <c r="I10" s="47">
        <f>SUMIF('Chi tiết màn hình'!$A$5:$A$62,A10,'Chi tiết màn hình'!$M$5:$M$62)</f>
        <v>23</v>
      </c>
      <c r="J10" s="47">
        <f t="shared" si="2"/>
        <v>38</v>
      </c>
      <c r="K10" s="15" t="s">
        <v>105</v>
      </c>
      <c r="L10" s="52" t="s">
        <v>99</v>
      </c>
    </row>
    <row r="11">
      <c r="A11" s="13" t="s">
        <v>110</v>
      </c>
      <c r="B11" s="15" t="s">
        <v>112</v>
      </c>
      <c r="C11" s="45">
        <f>COUNTIF('Chi tiết màn hình'!$A$5:$A$62,A11)</f>
        <v>7</v>
      </c>
      <c r="D11" s="46">
        <v>46251.5</v>
      </c>
      <c r="E11" s="46">
        <v>46259.5</v>
      </c>
      <c r="F11" s="47">
        <f t="shared" si="1"/>
        <v>9</v>
      </c>
      <c r="G11" s="47">
        <f>SUMIF('Chi tiết màn hình'!$A$5:$A$62,A11,'Chi tiết màn hình'!$K$5:$K$62)</f>
        <v>7</v>
      </c>
      <c r="H11" s="47">
        <f>SUMIF('Chi tiết màn hình'!$A$5:$A$62,A11,'Chi tiết màn hình'!$L$5:$L$62)</f>
        <v>17</v>
      </c>
      <c r="I11" s="47">
        <f>SUMIF('Chi tiết màn hình'!$A$5:$A$62,A11,'Chi tiết màn hình'!$M$5:$M$62)</f>
        <v>18</v>
      </c>
      <c r="J11" s="47">
        <f t="shared" si="2"/>
        <v>42</v>
      </c>
      <c r="K11" s="15" t="s">
        <v>114</v>
      </c>
      <c r="L11" s="52" t="s">
        <v>99</v>
      </c>
    </row>
    <row r="12">
      <c r="A12" s="13" t="s">
        <v>124</v>
      </c>
      <c r="B12" s="15" t="s">
        <v>125</v>
      </c>
      <c r="C12" s="45">
        <f>COUNTIF('Chi tiết màn hình'!$A$5:$A$62,A12)</f>
        <v>4</v>
      </c>
      <c r="D12" s="46">
        <v>46254.5</v>
      </c>
      <c r="E12" s="46">
        <v>46260.5</v>
      </c>
      <c r="F12" s="47">
        <f t="shared" si="1"/>
        <v>7</v>
      </c>
      <c r="G12" s="47">
        <f>SUMIF('Chi tiết màn hình'!$A$5:$A$62,A12,'Chi tiết màn hình'!$K$5:$K$62)</f>
        <v>3.5</v>
      </c>
      <c r="H12" s="47">
        <f>SUMIF('Chi tiết màn hình'!$A$5:$A$62,A12,'Chi tiết màn hình'!$L$5:$L$62)</f>
        <v>9.5</v>
      </c>
      <c r="I12" s="47">
        <f>SUMIF('Chi tiết màn hình'!$A$5:$A$62,A12,'Chi tiết màn hình'!$M$5:$M$62)</f>
        <v>11</v>
      </c>
      <c r="J12" s="47">
        <f t="shared" si="2"/>
        <v>24</v>
      </c>
      <c r="K12" s="15" t="s">
        <v>126</v>
      </c>
      <c r="L12" s="52" t="s">
        <v>99</v>
      </c>
    </row>
    <row r="13">
      <c r="A13" s="13" t="s">
        <v>130</v>
      </c>
      <c r="B13" s="15" t="s">
        <v>131</v>
      </c>
      <c r="C13" s="45">
        <f>COUNTIF('Chi tiết màn hình'!$A$5:$A$62,A13)</f>
        <v>7</v>
      </c>
      <c r="D13" s="46">
        <v>46258.5</v>
      </c>
      <c r="E13" s="46">
        <v>46265.5</v>
      </c>
      <c r="F13" s="47">
        <f t="shared" si="1"/>
        <v>8</v>
      </c>
      <c r="G13" s="47">
        <f>SUMIF('Chi tiết màn hình'!$A$5:$A$62,A13,'Chi tiết màn hình'!$K$5:$K$62)</f>
        <v>11</v>
      </c>
      <c r="H13" s="47">
        <f>SUMIF('Chi tiết màn hình'!$A$5:$A$62,A13,'Chi tiết màn hình'!$L$5:$L$62)</f>
        <v>30</v>
      </c>
      <c r="I13" s="47">
        <f>SUMIF('Chi tiết màn hình'!$A$5:$A$62,A13,'Chi tiết màn hình'!$M$5:$M$62)</f>
        <v>23</v>
      </c>
      <c r="J13" s="47">
        <f t="shared" si="2"/>
        <v>64</v>
      </c>
      <c r="K13" s="15" t="s">
        <v>132</v>
      </c>
      <c r="L13" s="52" t="s">
        <v>99</v>
      </c>
    </row>
    <row r="14">
      <c r="A14" s="13" t="s">
        <v>134</v>
      </c>
      <c r="B14" s="15" t="s">
        <v>136</v>
      </c>
      <c r="C14" s="45">
        <f>COUNTIF('Chi tiết màn hình'!$A$5:$A$62,A14)</f>
        <v>6</v>
      </c>
      <c r="D14" s="46">
        <v>46265.5</v>
      </c>
      <c r="E14" s="46">
        <v>46274.5</v>
      </c>
      <c r="F14" s="47">
        <f t="shared" si="1"/>
        <v>10</v>
      </c>
      <c r="G14" s="47">
        <f>SUMIF('Chi tiết màn hình'!$A$5:$A$62,A14,'Chi tiết màn hình'!$K$5:$K$62)</f>
        <v>10</v>
      </c>
      <c r="H14" s="47">
        <f>SUMIF('Chi tiết màn hình'!$A$5:$A$62,A14,'Chi tiết màn hình'!$L$5:$L$62)</f>
        <v>33</v>
      </c>
      <c r="I14" s="47">
        <f>SUMIF('Chi tiết màn hình'!$A$5:$A$62,A14,'Chi tiết màn hình'!$M$5:$M$62)</f>
        <v>25</v>
      </c>
      <c r="J14" s="47">
        <f t="shared" si="2"/>
        <v>68</v>
      </c>
      <c r="K14" s="15" t="s">
        <v>137</v>
      </c>
      <c r="L14" s="52" t="s">
        <v>99</v>
      </c>
    </row>
    <row r="15">
      <c r="A15" s="13" t="s">
        <v>142</v>
      </c>
      <c r="B15" s="15" t="s">
        <v>143</v>
      </c>
      <c r="C15" s="45">
        <f>COUNTIF('Chi tiết màn hình'!$A$5:$A$62,A15)</f>
        <v>7</v>
      </c>
      <c r="D15" s="46">
        <v>46272.5</v>
      </c>
      <c r="E15" s="46">
        <v>46283.5</v>
      </c>
      <c r="F15" s="47">
        <f t="shared" si="1"/>
        <v>12</v>
      </c>
      <c r="G15" s="47">
        <f>SUMIF('Chi tiết màn hình'!$A$5:$A$62,A15,'Chi tiết màn hình'!$K$5:$K$62)</f>
        <v>16</v>
      </c>
      <c r="H15" s="47">
        <f>SUMIF('Chi tiết màn hình'!$A$5:$A$62,A15,'Chi tiết màn hình'!$L$5:$L$62)</f>
        <v>41</v>
      </c>
      <c r="I15" s="47">
        <f>SUMIF('Chi tiết màn hình'!$A$5:$A$62,A15,'Chi tiết màn hình'!$M$5:$M$62)</f>
        <v>31</v>
      </c>
      <c r="J15" s="47">
        <f t="shared" si="2"/>
        <v>88</v>
      </c>
      <c r="K15" s="15" t="s">
        <v>144</v>
      </c>
      <c r="L15" s="52" t="s">
        <v>99</v>
      </c>
    </row>
    <row r="16">
      <c r="A16" s="13" t="s">
        <v>146</v>
      </c>
      <c r="B16" s="15" t="s">
        <v>148</v>
      </c>
      <c r="C16" s="45">
        <f>COUNTIF('Chi tiết màn hình'!$A$5:$A$62,A16)</f>
        <v>3</v>
      </c>
      <c r="D16" s="46">
        <v>46281.5</v>
      </c>
      <c r="E16" s="46">
        <v>46287.5</v>
      </c>
      <c r="F16" s="47">
        <f t="shared" si="1"/>
        <v>7</v>
      </c>
      <c r="G16" s="47">
        <f>SUMIF('Chi tiết màn hình'!$A$5:$A$62,A16,'Chi tiết màn hình'!$K$5:$K$62)</f>
        <v>4</v>
      </c>
      <c r="H16" s="47">
        <f>SUMIF('Chi tiết màn hình'!$A$5:$A$62,A16,'Chi tiết màn hình'!$L$5:$L$62)</f>
        <v>8</v>
      </c>
      <c r="I16" s="47">
        <f>SUMIF('Chi tiết màn hình'!$A$5:$A$62,A16,'Chi tiết màn hình'!$M$5:$M$62)</f>
        <v>8</v>
      </c>
      <c r="J16" s="47">
        <f t="shared" si="2"/>
        <v>20</v>
      </c>
      <c r="K16" s="15" t="s">
        <v>150</v>
      </c>
      <c r="L16" s="52" t="s">
        <v>99</v>
      </c>
    </row>
    <row r="17">
      <c r="A17" s="13" t="s">
        <v>154</v>
      </c>
      <c r="B17" s="15" t="s">
        <v>155</v>
      </c>
      <c r="C17" s="45">
        <f>COUNTIF('Chi tiết màn hình'!$A$5:$A$62,A17)</f>
        <v>4</v>
      </c>
      <c r="D17" s="46">
        <v>46286.5</v>
      </c>
      <c r="E17" s="46">
        <v>46290.5</v>
      </c>
      <c r="F17" s="47">
        <f t="shared" si="1"/>
        <v>5</v>
      </c>
      <c r="G17" s="47">
        <f>SUMIF('Chi tiết màn hình'!$A$5:$A$62,A17,'Chi tiết màn hình'!$K$5:$K$62)</f>
        <v>6</v>
      </c>
      <c r="H17" s="47">
        <f>SUMIF('Chi tiết màn hình'!$A$5:$A$62,A17,'Chi tiết màn hình'!$L$5:$L$62)</f>
        <v>12</v>
      </c>
      <c r="I17" s="47">
        <f>SUMIF('Chi tiết màn hình'!$A$5:$A$62,A17,'Chi tiết màn hình'!$M$5:$M$62)</f>
        <v>11</v>
      </c>
      <c r="J17" s="47">
        <f t="shared" si="2"/>
        <v>29</v>
      </c>
      <c r="K17" s="15" t="s">
        <v>156</v>
      </c>
      <c r="L17" s="52" t="s">
        <v>99</v>
      </c>
    </row>
    <row r="18">
      <c r="A18" s="13" t="s">
        <v>158</v>
      </c>
      <c r="B18" s="15" t="s">
        <v>159</v>
      </c>
      <c r="C18" s="45">
        <f>COUNTIF('Chi tiết màn hình'!$A$5:$A$62,A18)</f>
        <v>4</v>
      </c>
      <c r="D18" s="46">
        <v>46286.5</v>
      </c>
      <c r="E18" s="46">
        <v>46297.5</v>
      </c>
      <c r="F18" s="47">
        <f t="shared" si="1"/>
        <v>12</v>
      </c>
      <c r="G18" s="47">
        <f>SUMIF('Chi tiết màn hình'!$A$5:$A$62,A18,'Chi tiết màn hình'!$K$5:$K$62)</f>
        <v>30</v>
      </c>
      <c r="H18" s="47">
        <f>SUMIF('Chi tiết màn hình'!$A$5:$A$62,A18,'Chi tiết màn hình'!$L$5:$L$62)</f>
        <v>19</v>
      </c>
      <c r="I18" s="47">
        <f>SUMIF('Chi tiết màn hình'!$A$5:$A$62,A18,'Chi tiết màn hình'!$M$5:$M$62)</f>
        <v>17</v>
      </c>
      <c r="J18" s="47">
        <f t="shared" si="2"/>
        <v>66</v>
      </c>
      <c r="K18" s="15" t="s">
        <v>160</v>
      </c>
      <c r="L18" s="52" t="s">
        <v>99</v>
      </c>
    </row>
    <row r="19">
      <c r="A19" s="53" t="s">
        <v>163</v>
      </c>
      <c r="B19" s="54" t="s">
        <v>164</v>
      </c>
      <c r="C19" s="55">
        <f>COUNTIF('Chi tiết màn hình'!$A$5:$A$62,A19)</f>
        <v>0</v>
      </c>
      <c r="D19" s="56">
        <v>46300.5</v>
      </c>
      <c r="E19" s="56">
        <v>46304.5</v>
      </c>
      <c r="F19" s="57">
        <f t="shared" si="1"/>
        <v>5</v>
      </c>
      <c r="G19" s="57">
        <f>SUMIF('Chi tiết màn hình'!$A$5:$A$62,A19,'Chi tiết màn hình'!$K$5:$K$62)</f>
        <v>0</v>
      </c>
      <c r="H19" s="57">
        <f>SUMIF('Chi tiết màn hình'!$A$5:$A$62,A19,'Chi tiết màn hình'!$L$5:$L$62)</f>
        <v>0</v>
      </c>
      <c r="I19" s="57">
        <f>SUMIF('Chi tiết màn hình'!$A$5:$A$62,A19,'Chi tiết màn hình'!$M$5:$M$62)</f>
        <v>0</v>
      </c>
      <c r="J19" s="57">
        <f t="shared" si="2"/>
        <v>0</v>
      </c>
      <c r="K19" s="54" t="s">
        <v>166</v>
      </c>
      <c r="L19" s="58" t="s">
        <v>52</v>
      </c>
    </row>
    <row r="20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</row>
    <row r="21" ht="33.75" customHeight="1">
      <c r="A21" s="59" t="s">
        <v>238</v>
      </c>
    </row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K1"/>
    <mergeCell ref="A2:K2"/>
    <mergeCell ref="A21:L21"/>
  </mergeCells>
  <conditionalFormatting sqref="L8:L19">
    <cfRule type="containsText" dxfId="0" priority="1" operator="containsText" text="Hoàn thành">
      <formula>NOT(ISERROR(SEARCH(("Hoàn thành"),(L8))))</formula>
    </cfRule>
  </conditionalFormatting>
  <conditionalFormatting sqref="L8:L19">
    <cfRule type="containsText" dxfId="1" priority="2" operator="containsText" text="Đang làm">
      <formula>NOT(ISERROR(SEARCH(("Đang làm"),(L8))))</formula>
    </cfRule>
  </conditionalFormatting>
  <conditionalFormatting sqref="L8:L19">
    <cfRule type="containsText" dxfId="2" priority="3" operator="containsText" text="Đang test">
      <formula>NOT(ISERROR(SEARCH(("Đang test"),(L8))))</formula>
    </cfRule>
  </conditionalFormatting>
  <dataValidations>
    <dataValidation type="list" allowBlank="1" sqref="L8:L19">
      <formula1>"Chưa bắt đầu,Đang làm,Đang test,Hoàn thành,Tạm dừng,Dự phòng"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2.0"/>
    <col customWidth="1" min="2" max="2" width="31.0"/>
    <col customWidth="1" min="3" max="3" width="13.0"/>
    <col customWidth="1" min="4" max="4" width="22.0"/>
    <col customWidth="1" min="5" max="5" width="42.0"/>
    <col customWidth="1" min="6" max="7" width="13.0"/>
    <col customWidth="1" min="8" max="8" width="10.0"/>
    <col customWidth="1" min="9" max="9" width="40.0"/>
    <col customWidth="1" min="10" max="10" width="28.0"/>
    <col customWidth="1" min="11" max="14" width="12.0"/>
    <col customWidth="1" min="15" max="15" width="16.0"/>
    <col customWidth="1" min="16" max="26" width="8.63"/>
  </cols>
  <sheetData>
    <row r="1" ht="33.75" customHeight="1">
      <c r="A1" s="1" t="s">
        <v>2</v>
      </c>
    </row>
    <row r="2" ht="30.0" customHeight="1">
      <c r="A2" s="3" t="s">
        <v>5</v>
      </c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ht="31.5" customHeight="1">
      <c r="A4" s="4" t="s">
        <v>11</v>
      </c>
      <c r="B4" s="4" t="s">
        <v>15</v>
      </c>
      <c r="C4" s="4" t="s">
        <v>19</v>
      </c>
      <c r="D4" s="4" t="s">
        <v>23</v>
      </c>
      <c r="E4" s="4" t="s">
        <v>26</v>
      </c>
      <c r="F4" s="4" t="s">
        <v>29</v>
      </c>
      <c r="G4" s="4" t="s">
        <v>32</v>
      </c>
      <c r="H4" s="4" t="s">
        <v>37</v>
      </c>
      <c r="I4" s="4" t="s">
        <v>40</v>
      </c>
      <c r="J4" s="4" t="s">
        <v>44</v>
      </c>
      <c r="K4" s="4" t="s">
        <v>46</v>
      </c>
      <c r="L4" s="4" t="s">
        <v>49</v>
      </c>
      <c r="M4" s="4" t="s">
        <v>51</v>
      </c>
      <c r="N4" s="4" t="s">
        <v>54</v>
      </c>
      <c r="O4" s="4" t="s">
        <v>56</v>
      </c>
    </row>
    <row r="5">
      <c r="A5" s="10" t="s">
        <v>58</v>
      </c>
      <c r="B5" s="16" t="s">
        <v>60</v>
      </c>
      <c r="C5" s="16" t="s">
        <v>64</v>
      </c>
      <c r="D5" s="16" t="s">
        <v>65</v>
      </c>
      <c r="E5" s="16" t="s">
        <v>66</v>
      </c>
      <c r="F5" s="18">
        <v>46243.5</v>
      </c>
      <c r="G5" s="18">
        <v>46245.5</v>
      </c>
      <c r="H5" s="21">
        <f t="shared" ref="H5:H62" si="1">G5-F5+1</f>
        <v>3</v>
      </c>
      <c r="I5" s="16" t="s">
        <v>84</v>
      </c>
      <c r="J5" s="16" t="s">
        <v>87</v>
      </c>
      <c r="K5" s="23">
        <v>12.0</v>
      </c>
      <c r="L5" s="23">
        <v>2.0</v>
      </c>
      <c r="M5" s="23">
        <v>2.0</v>
      </c>
      <c r="N5" s="23">
        <f t="shared" ref="N5:N62" si="2">SUM(K5:M5)</f>
        <v>16</v>
      </c>
      <c r="O5" s="16" t="s">
        <v>99</v>
      </c>
    </row>
    <row r="6">
      <c r="A6" s="28" t="s">
        <v>58</v>
      </c>
      <c r="B6" s="29" t="s">
        <v>107</v>
      </c>
      <c r="C6" s="29" t="s">
        <v>64</v>
      </c>
      <c r="D6" s="29" t="s">
        <v>65</v>
      </c>
      <c r="E6" s="29" t="s">
        <v>121</v>
      </c>
      <c r="F6" s="30">
        <v>46244.5</v>
      </c>
      <c r="G6" s="30">
        <v>46247.5</v>
      </c>
      <c r="H6" s="31">
        <f t="shared" si="1"/>
        <v>4</v>
      </c>
      <c r="I6" s="29" t="s">
        <v>128</v>
      </c>
      <c r="J6" s="29"/>
      <c r="K6" s="34">
        <v>4.0</v>
      </c>
      <c r="L6" s="34">
        <v>12.0</v>
      </c>
      <c r="M6" s="34">
        <v>4.0</v>
      </c>
      <c r="N6" s="34">
        <f t="shared" si="2"/>
        <v>20</v>
      </c>
      <c r="O6" s="40" t="s">
        <v>99</v>
      </c>
    </row>
    <row r="7">
      <c r="A7" s="28" t="s">
        <v>58</v>
      </c>
      <c r="B7" s="29" t="s">
        <v>135</v>
      </c>
      <c r="C7" s="29" t="s">
        <v>64</v>
      </c>
      <c r="D7" s="29" t="s">
        <v>65</v>
      </c>
      <c r="E7" s="29" t="s">
        <v>139</v>
      </c>
      <c r="F7" s="30">
        <v>46244.5</v>
      </c>
      <c r="G7" s="30">
        <v>46248.5</v>
      </c>
      <c r="H7" s="31">
        <f t="shared" si="1"/>
        <v>5</v>
      </c>
      <c r="I7" s="29" t="s">
        <v>141</v>
      </c>
      <c r="J7" s="29"/>
      <c r="K7" s="34">
        <v>2.0</v>
      </c>
      <c r="L7" s="34">
        <v>8.0</v>
      </c>
      <c r="M7" s="34">
        <v>8.0</v>
      </c>
      <c r="N7" s="34">
        <f t="shared" si="2"/>
        <v>18</v>
      </c>
      <c r="O7" s="40" t="s">
        <v>99</v>
      </c>
    </row>
    <row r="8">
      <c r="A8" s="10" t="s">
        <v>86</v>
      </c>
      <c r="B8" s="16" t="s">
        <v>147</v>
      </c>
      <c r="C8" s="16" t="s">
        <v>149</v>
      </c>
      <c r="D8" s="16" t="s">
        <v>151</v>
      </c>
      <c r="E8" s="16" t="s">
        <v>152</v>
      </c>
      <c r="F8" s="18">
        <v>46244.5</v>
      </c>
      <c r="G8" s="18">
        <v>46246.5</v>
      </c>
      <c r="H8" s="21">
        <f t="shared" si="1"/>
        <v>3</v>
      </c>
      <c r="I8" s="16" t="s">
        <v>153</v>
      </c>
      <c r="J8" s="16"/>
      <c r="K8" s="23">
        <v>1.0</v>
      </c>
      <c r="L8" s="23">
        <v>4.0</v>
      </c>
      <c r="M8" s="23">
        <v>4.0</v>
      </c>
      <c r="N8" s="23">
        <f t="shared" si="2"/>
        <v>9</v>
      </c>
      <c r="O8" s="16" t="s">
        <v>99</v>
      </c>
    </row>
    <row r="9">
      <c r="A9" s="28" t="s">
        <v>86</v>
      </c>
      <c r="B9" s="29" t="s">
        <v>157</v>
      </c>
      <c r="C9" s="29" t="s">
        <v>149</v>
      </c>
      <c r="D9" s="29" t="s">
        <v>151</v>
      </c>
      <c r="E9" s="29" t="s">
        <v>161</v>
      </c>
      <c r="F9" s="30">
        <v>46245.5</v>
      </c>
      <c r="G9" s="30">
        <v>46247.5</v>
      </c>
      <c r="H9" s="31">
        <f t="shared" si="1"/>
        <v>3</v>
      </c>
      <c r="I9" s="29" t="s">
        <v>162</v>
      </c>
      <c r="J9" s="29"/>
      <c r="K9" s="34">
        <v>1.0</v>
      </c>
      <c r="L9" s="34">
        <v>3.0</v>
      </c>
      <c r="M9" s="34">
        <v>3.0</v>
      </c>
      <c r="N9" s="34">
        <f t="shared" si="2"/>
        <v>7</v>
      </c>
      <c r="O9" s="40" t="s">
        <v>99</v>
      </c>
    </row>
    <row r="10">
      <c r="A10" s="28" t="s">
        <v>86</v>
      </c>
      <c r="B10" s="29" t="s">
        <v>165</v>
      </c>
      <c r="C10" s="29" t="s">
        <v>149</v>
      </c>
      <c r="D10" s="29" t="s">
        <v>167</v>
      </c>
      <c r="E10" s="29" t="s">
        <v>168</v>
      </c>
      <c r="F10" s="30">
        <v>46246.5</v>
      </c>
      <c r="G10" s="30">
        <v>46248.5</v>
      </c>
      <c r="H10" s="31">
        <f t="shared" si="1"/>
        <v>3</v>
      </c>
      <c r="I10" s="29" t="s">
        <v>169</v>
      </c>
      <c r="J10" s="29"/>
      <c r="K10" s="34">
        <v>1.0</v>
      </c>
      <c r="L10" s="34">
        <v>4.0</v>
      </c>
      <c r="M10" s="34">
        <v>3.0</v>
      </c>
      <c r="N10" s="34">
        <f t="shared" si="2"/>
        <v>8</v>
      </c>
      <c r="O10" s="40" t="s">
        <v>99</v>
      </c>
    </row>
    <row r="11">
      <c r="A11" s="28" t="s">
        <v>86</v>
      </c>
      <c r="B11" s="29" t="s">
        <v>170</v>
      </c>
      <c r="C11" s="29" t="s">
        <v>149</v>
      </c>
      <c r="D11" s="29" t="s">
        <v>151</v>
      </c>
      <c r="E11" s="29" t="s">
        <v>171</v>
      </c>
      <c r="F11" s="30">
        <v>46246.5</v>
      </c>
      <c r="G11" s="30">
        <v>46248.5</v>
      </c>
      <c r="H11" s="31">
        <f t="shared" si="1"/>
        <v>3</v>
      </c>
      <c r="I11" s="29" t="s">
        <v>172</v>
      </c>
      <c r="J11" s="29"/>
      <c r="K11" s="34">
        <v>2.0</v>
      </c>
      <c r="L11" s="34">
        <v>4.0</v>
      </c>
      <c r="M11" s="34">
        <v>4.0</v>
      </c>
      <c r="N11" s="34">
        <f t="shared" si="2"/>
        <v>10</v>
      </c>
      <c r="O11" s="40" t="s">
        <v>99</v>
      </c>
    </row>
    <row r="12">
      <c r="A12" s="10" t="s">
        <v>101</v>
      </c>
      <c r="B12" s="16" t="s">
        <v>173</v>
      </c>
      <c r="C12" s="16" t="s">
        <v>149</v>
      </c>
      <c r="D12" s="16" t="s">
        <v>85</v>
      </c>
      <c r="E12" s="16" t="s">
        <v>174</v>
      </c>
      <c r="F12" s="18">
        <v>46251.5</v>
      </c>
      <c r="G12" s="18">
        <v>46254.5</v>
      </c>
      <c r="H12" s="21">
        <f t="shared" si="1"/>
        <v>4</v>
      </c>
      <c r="I12" s="16" t="s">
        <v>175</v>
      </c>
      <c r="J12" s="16"/>
      <c r="K12" s="23">
        <v>1.0</v>
      </c>
      <c r="L12" s="23">
        <v>1.0</v>
      </c>
      <c r="M12" s="23">
        <v>5.0</v>
      </c>
      <c r="N12" s="23">
        <f t="shared" si="2"/>
        <v>7</v>
      </c>
      <c r="O12" s="16" t="s">
        <v>99</v>
      </c>
    </row>
    <row r="13">
      <c r="A13" s="28" t="s">
        <v>101</v>
      </c>
      <c r="B13" s="29" t="s">
        <v>176</v>
      </c>
      <c r="C13" s="29" t="s">
        <v>149</v>
      </c>
      <c r="D13" s="29" t="s">
        <v>85</v>
      </c>
      <c r="E13" s="29" t="s">
        <v>177</v>
      </c>
      <c r="F13" s="30">
        <v>46251.5</v>
      </c>
      <c r="G13" s="30">
        <v>46253.5</v>
      </c>
      <c r="H13" s="31">
        <f t="shared" si="1"/>
        <v>3</v>
      </c>
      <c r="I13" s="29" t="s">
        <v>178</v>
      </c>
      <c r="J13" s="29"/>
      <c r="K13" s="34">
        <v>0.5</v>
      </c>
      <c r="L13" s="34">
        <v>0.5</v>
      </c>
      <c r="M13" s="34">
        <v>2.0</v>
      </c>
      <c r="N13" s="34">
        <f t="shared" si="2"/>
        <v>3</v>
      </c>
      <c r="O13" s="40" t="s">
        <v>99</v>
      </c>
    </row>
    <row r="14">
      <c r="A14" s="28" t="s">
        <v>101</v>
      </c>
      <c r="B14" s="29" t="s">
        <v>179</v>
      </c>
      <c r="C14" s="29" t="s">
        <v>149</v>
      </c>
      <c r="D14" s="29" t="s">
        <v>85</v>
      </c>
      <c r="E14" s="29" t="s">
        <v>180</v>
      </c>
      <c r="F14" s="30">
        <v>46251.5</v>
      </c>
      <c r="G14" s="30">
        <v>46254.5</v>
      </c>
      <c r="H14" s="31">
        <f t="shared" si="1"/>
        <v>4</v>
      </c>
      <c r="I14" s="29" t="s">
        <v>181</v>
      </c>
      <c r="J14" s="29" t="s">
        <v>182</v>
      </c>
      <c r="K14" s="34">
        <v>0.5</v>
      </c>
      <c r="L14" s="34">
        <v>0.5</v>
      </c>
      <c r="M14" s="34">
        <v>3.0</v>
      </c>
      <c r="N14" s="34">
        <f t="shared" si="2"/>
        <v>4</v>
      </c>
      <c r="O14" s="40" t="s">
        <v>99</v>
      </c>
    </row>
    <row r="15">
      <c r="A15" s="28" t="s">
        <v>101</v>
      </c>
      <c r="B15" s="29" t="s">
        <v>183</v>
      </c>
      <c r="C15" s="29" t="s">
        <v>149</v>
      </c>
      <c r="D15" s="29" t="s">
        <v>85</v>
      </c>
      <c r="E15" s="29" t="s">
        <v>184</v>
      </c>
      <c r="F15" s="30">
        <v>46252.5</v>
      </c>
      <c r="G15" s="30">
        <v>46254.5</v>
      </c>
      <c r="H15" s="31">
        <f t="shared" si="1"/>
        <v>3</v>
      </c>
      <c r="I15" s="29" t="s">
        <v>185</v>
      </c>
      <c r="J15" s="29"/>
      <c r="K15" s="34">
        <v>0.5</v>
      </c>
      <c r="L15" s="34">
        <v>0.5</v>
      </c>
      <c r="M15" s="34">
        <v>3.0</v>
      </c>
      <c r="N15" s="34">
        <f t="shared" si="2"/>
        <v>4</v>
      </c>
      <c r="O15" s="40" t="s">
        <v>99</v>
      </c>
    </row>
    <row r="16">
      <c r="A16" s="28" t="s">
        <v>101</v>
      </c>
      <c r="B16" s="29" t="s">
        <v>186</v>
      </c>
      <c r="C16" s="29" t="s">
        <v>149</v>
      </c>
      <c r="D16" s="29" t="s">
        <v>85</v>
      </c>
      <c r="E16" s="29" t="s">
        <v>187</v>
      </c>
      <c r="F16" s="30">
        <v>46252.5</v>
      </c>
      <c r="G16" s="30">
        <v>46255.5</v>
      </c>
      <c r="H16" s="31">
        <f t="shared" si="1"/>
        <v>4</v>
      </c>
      <c r="I16" s="29" t="s">
        <v>188</v>
      </c>
      <c r="J16" s="29"/>
      <c r="K16" s="34">
        <v>1.0</v>
      </c>
      <c r="L16" s="34">
        <v>2.0</v>
      </c>
      <c r="M16" s="34">
        <v>4.0</v>
      </c>
      <c r="N16" s="34">
        <f t="shared" si="2"/>
        <v>7</v>
      </c>
      <c r="O16" s="40" t="s">
        <v>99</v>
      </c>
    </row>
    <row r="17">
      <c r="A17" s="28" t="s">
        <v>101</v>
      </c>
      <c r="B17" s="29" t="s">
        <v>189</v>
      </c>
      <c r="C17" s="29" t="s">
        <v>149</v>
      </c>
      <c r="D17" s="29" t="s">
        <v>85</v>
      </c>
      <c r="E17" s="29" t="s">
        <v>190</v>
      </c>
      <c r="F17" s="30">
        <v>46253.5</v>
      </c>
      <c r="G17" s="30">
        <v>46255.5</v>
      </c>
      <c r="H17" s="31">
        <f t="shared" si="1"/>
        <v>3</v>
      </c>
      <c r="I17" s="29" t="s">
        <v>191</v>
      </c>
      <c r="J17" s="29"/>
      <c r="K17" s="34">
        <v>0.5</v>
      </c>
      <c r="L17" s="34">
        <v>0.5</v>
      </c>
      <c r="M17" s="34">
        <v>2.0</v>
      </c>
      <c r="N17" s="34">
        <f t="shared" si="2"/>
        <v>3</v>
      </c>
      <c r="O17" s="40" t="s">
        <v>99</v>
      </c>
    </row>
    <row r="18">
      <c r="A18" s="28" t="s">
        <v>101</v>
      </c>
      <c r="B18" s="29" t="s">
        <v>192</v>
      </c>
      <c r="C18" s="29" t="s">
        <v>193</v>
      </c>
      <c r="D18" s="29" t="s">
        <v>85</v>
      </c>
      <c r="E18" s="29" t="s">
        <v>194</v>
      </c>
      <c r="F18" s="30">
        <v>46253.5</v>
      </c>
      <c r="G18" s="30">
        <v>46254.5</v>
      </c>
      <c r="H18" s="31">
        <f t="shared" si="1"/>
        <v>2</v>
      </c>
      <c r="I18" s="29" t="s">
        <v>195</v>
      </c>
      <c r="J18" s="29"/>
      <c r="K18" s="34">
        <v>0.5</v>
      </c>
      <c r="L18" s="34">
        <v>0.5</v>
      </c>
      <c r="M18" s="34">
        <v>1.0</v>
      </c>
      <c r="N18" s="34">
        <f t="shared" si="2"/>
        <v>2</v>
      </c>
      <c r="O18" s="40" t="s">
        <v>99</v>
      </c>
    </row>
    <row r="19">
      <c r="A19" s="28" t="s">
        <v>101</v>
      </c>
      <c r="B19" s="29" t="s">
        <v>196</v>
      </c>
      <c r="C19" s="29" t="s">
        <v>149</v>
      </c>
      <c r="D19" s="29" t="s">
        <v>85</v>
      </c>
      <c r="E19" s="29" t="s">
        <v>197</v>
      </c>
      <c r="F19" s="30">
        <v>46252.5</v>
      </c>
      <c r="G19" s="30">
        <v>46255.5</v>
      </c>
      <c r="H19" s="31">
        <f t="shared" si="1"/>
        <v>4</v>
      </c>
      <c r="I19" s="29" t="s">
        <v>198</v>
      </c>
      <c r="J19" s="29"/>
      <c r="K19" s="34">
        <v>1.0</v>
      </c>
      <c r="L19" s="34">
        <v>2.0</v>
      </c>
      <c r="M19" s="34">
        <v>2.0</v>
      </c>
      <c r="N19" s="34">
        <f t="shared" si="2"/>
        <v>5</v>
      </c>
      <c r="O19" s="40" t="s">
        <v>99</v>
      </c>
    </row>
    <row r="20">
      <c r="A20" s="28" t="s">
        <v>101</v>
      </c>
      <c r="B20" s="29" t="s">
        <v>199</v>
      </c>
      <c r="C20" s="29" t="s">
        <v>149</v>
      </c>
      <c r="D20" s="29" t="s">
        <v>167</v>
      </c>
      <c r="E20" s="29" t="s">
        <v>200</v>
      </c>
      <c r="F20" s="30">
        <v>46253.5</v>
      </c>
      <c r="G20" s="30">
        <v>46255.5</v>
      </c>
      <c r="H20" s="31">
        <f t="shared" si="1"/>
        <v>3</v>
      </c>
      <c r="I20" s="29" t="s">
        <v>201</v>
      </c>
      <c r="J20" s="29"/>
      <c r="K20" s="34">
        <v>1.0</v>
      </c>
      <c r="L20" s="34">
        <v>1.0</v>
      </c>
      <c r="M20" s="34">
        <v>1.0</v>
      </c>
      <c r="N20" s="34">
        <f t="shared" si="2"/>
        <v>3</v>
      </c>
      <c r="O20" s="40" t="s">
        <v>99</v>
      </c>
    </row>
    <row r="21" ht="15.75" customHeight="1">
      <c r="A21" s="10" t="s">
        <v>110</v>
      </c>
      <c r="B21" s="16" t="s">
        <v>202</v>
      </c>
      <c r="C21" s="16" t="s">
        <v>149</v>
      </c>
      <c r="D21" s="16" t="s">
        <v>167</v>
      </c>
      <c r="E21" s="16" t="s">
        <v>203</v>
      </c>
      <c r="F21" s="18">
        <v>46251.5</v>
      </c>
      <c r="G21" s="18">
        <v>46254.5</v>
      </c>
      <c r="H21" s="21">
        <f t="shared" si="1"/>
        <v>4</v>
      </c>
      <c r="I21" s="16" t="s">
        <v>204</v>
      </c>
      <c r="J21" s="16"/>
      <c r="K21" s="23">
        <v>1.0</v>
      </c>
      <c r="L21" s="23">
        <v>2.0</v>
      </c>
      <c r="M21" s="23">
        <v>3.0</v>
      </c>
      <c r="N21" s="23">
        <f t="shared" si="2"/>
        <v>6</v>
      </c>
      <c r="O21" s="16" t="s">
        <v>99</v>
      </c>
    </row>
    <row r="22" ht="15.75" customHeight="1">
      <c r="A22" s="28" t="s">
        <v>110</v>
      </c>
      <c r="B22" s="29" t="s">
        <v>205</v>
      </c>
      <c r="C22" s="29" t="s">
        <v>149</v>
      </c>
      <c r="D22" s="29" t="s">
        <v>167</v>
      </c>
      <c r="E22" s="29" t="s">
        <v>206</v>
      </c>
      <c r="F22" s="30">
        <v>46252.5</v>
      </c>
      <c r="G22" s="30">
        <v>46255.5</v>
      </c>
      <c r="H22" s="31">
        <f t="shared" si="1"/>
        <v>4</v>
      </c>
      <c r="I22" s="29" t="s">
        <v>207</v>
      </c>
      <c r="J22" s="29"/>
      <c r="K22" s="34">
        <v>1.0</v>
      </c>
      <c r="L22" s="34">
        <v>3.0</v>
      </c>
      <c r="M22" s="34">
        <v>3.0</v>
      </c>
      <c r="N22" s="34">
        <f t="shared" si="2"/>
        <v>7</v>
      </c>
      <c r="O22" s="40" t="s">
        <v>99</v>
      </c>
    </row>
    <row r="23" ht="15.75" customHeight="1">
      <c r="A23" s="28" t="s">
        <v>110</v>
      </c>
      <c r="B23" s="29" t="s">
        <v>208</v>
      </c>
      <c r="C23" s="29" t="s">
        <v>149</v>
      </c>
      <c r="D23" s="29" t="s">
        <v>167</v>
      </c>
      <c r="E23" s="29" t="s">
        <v>209</v>
      </c>
      <c r="F23" s="30">
        <v>46253.5</v>
      </c>
      <c r="G23" s="30">
        <v>46258.5</v>
      </c>
      <c r="H23" s="31">
        <f t="shared" si="1"/>
        <v>6</v>
      </c>
      <c r="I23" s="29" t="s">
        <v>210</v>
      </c>
      <c r="J23" s="29"/>
      <c r="K23" s="34">
        <v>1.0</v>
      </c>
      <c r="L23" s="34">
        <v>2.0</v>
      </c>
      <c r="M23" s="34">
        <v>3.0</v>
      </c>
      <c r="N23" s="34">
        <f t="shared" si="2"/>
        <v>6</v>
      </c>
      <c r="O23" s="40" t="s">
        <v>99</v>
      </c>
    </row>
    <row r="24" ht="15.75" customHeight="1">
      <c r="A24" s="28" t="s">
        <v>110</v>
      </c>
      <c r="B24" s="29" t="s">
        <v>211</v>
      </c>
      <c r="C24" s="29" t="s">
        <v>149</v>
      </c>
      <c r="D24" s="29" t="s">
        <v>167</v>
      </c>
      <c r="E24" s="29" t="s">
        <v>212</v>
      </c>
      <c r="F24" s="30">
        <v>46254.5</v>
      </c>
      <c r="G24" s="30">
        <v>46258.5</v>
      </c>
      <c r="H24" s="31">
        <f t="shared" si="1"/>
        <v>5</v>
      </c>
      <c r="I24" s="29" t="s">
        <v>213</v>
      </c>
      <c r="J24" s="29"/>
      <c r="K24" s="34">
        <v>1.0</v>
      </c>
      <c r="L24" s="34">
        <v>3.0</v>
      </c>
      <c r="M24" s="34">
        <v>2.0</v>
      </c>
      <c r="N24" s="34">
        <f t="shared" si="2"/>
        <v>6</v>
      </c>
      <c r="O24" s="40" t="s">
        <v>99</v>
      </c>
    </row>
    <row r="25" ht="15.75" customHeight="1">
      <c r="A25" s="28" t="s">
        <v>110</v>
      </c>
      <c r="B25" s="29" t="s">
        <v>214</v>
      </c>
      <c r="C25" s="29" t="s">
        <v>149</v>
      </c>
      <c r="D25" s="29" t="s">
        <v>167</v>
      </c>
      <c r="E25" s="29" t="s">
        <v>215</v>
      </c>
      <c r="F25" s="30">
        <v>46255.5</v>
      </c>
      <c r="G25" s="30">
        <v>46259.5</v>
      </c>
      <c r="H25" s="31">
        <f t="shared" si="1"/>
        <v>5</v>
      </c>
      <c r="I25" s="29" t="s">
        <v>216</v>
      </c>
      <c r="J25" s="29"/>
      <c r="K25" s="34">
        <v>1.0</v>
      </c>
      <c r="L25" s="34">
        <v>2.0</v>
      </c>
      <c r="M25" s="34">
        <v>2.0</v>
      </c>
      <c r="N25" s="34">
        <f t="shared" si="2"/>
        <v>5</v>
      </c>
      <c r="O25" s="40" t="s">
        <v>99</v>
      </c>
    </row>
    <row r="26" ht="15.75" customHeight="1">
      <c r="A26" s="28" t="s">
        <v>110</v>
      </c>
      <c r="B26" s="29" t="s">
        <v>217</v>
      </c>
      <c r="C26" s="29" t="s">
        <v>149</v>
      </c>
      <c r="D26" s="29" t="s">
        <v>167</v>
      </c>
      <c r="E26" s="29" t="s">
        <v>218</v>
      </c>
      <c r="F26" s="30">
        <v>46254.5</v>
      </c>
      <c r="G26" s="30">
        <v>46259.5</v>
      </c>
      <c r="H26" s="31">
        <f t="shared" si="1"/>
        <v>6</v>
      </c>
      <c r="I26" s="29" t="s">
        <v>219</v>
      </c>
      <c r="J26" s="29"/>
      <c r="K26" s="34">
        <v>1.0</v>
      </c>
      <c r="L26" s="34">
        <v>2.0</v>
      </c>
      <c r="M26" s="34">
        <v>3.0</v>
      </c>
      <c r="N26" s="34">
        <f t="shared" si="2"/>
        <v>6</v>
      </c>
      <c r="O26" s="40" t="s">
        <v>99</v>
      </c>
    </row>
    <row r="27" ht="15.75" customHeight="1">
      <c r="A27" s="28" t="s">
        <v>110</v>
      </c>
      <c r="B27" s="29" t="s">
        <v>220</v>
      </c>
      <c r="C27" s="29" t="s">
        <v>221</v>
      </c>
      <c r="D27" s="29" t="s">
        <v>167</v>
      </c>
      <c r="E27" s="29" t="s">
        <v>222</v>
      </c>
      <c r="F27" s="30">
        <v>46255.5</v>
      </c>
      <c r="G27" s="30">
        <v>46259.5</v>
      </c>
      <c r="H27" s="31">
        <f t="shared" si="1"/>
        <v>5</v>
      </c>
      <c r="I27" s="29" t="s">
        <v>223</v>
      </c>
      <c r="J27" s="29"/>
      <c r="K27" s="34">
        <v>1.0</v>
      </c>
      <c r="L27" s="34">
        <v>3.0</v>
      </c>
      <c r="M27" s="34">
        <v>2.0</v>
      </c>
      <c r="N27" s="34">
        <f t="shared" si="2"/>
        <v>6</v>
      </c>
      <c r="O27" s="40" t="s">
        <v>99</v>
      </c>
    </row>
    <row r="28" ht="15.75" customHeight="1">
      <c r="A28" s="10" t="s">
        <v>124</v>
      </c>
      <c r="B28" s="16" t="s">
        <v>224</v>
      </c>
      <c r="C28" s="16" t="s">
        <v>149</v>
      </c>
      <c r="D28" s="16" t="s">
        <v>167</v>
      </c>
      <c r="E28" s="16" t="s">
        <v>225</v>
      </c>
      <c r="F28" s="18">
        <v>46254.5</v>
      </c>
      <c r="G28" s="18">
        <v>46255.5</v>
      </c>
      <c r="H28" s="21">
        <f t="shared" si="1"/>
        <v>2</v>
      </c>
      <c r="I28" s="16" t="s">
        <v>226</v>
      </c>
      <c r="J28" s="16"/>
      <c r="K28" s="23">
        <v>0.5</v>
      </c>
      <c r="L28" s="23">
        <v>1.5</v>
      </c>
      <c r="M28" s="23">
        <v>2.0</v>
      </c>
      <c r="N28" s="23">
        <f t="shared" si="2"/>
        <v>4</v>
      </c>
      <c r="O28" s="16" t="s">
        <v>99</v>
      </c>
    </row>
    <row r="29" ht="15.75" customHeight="1">
      <c r="A29" s="28" t="s">
        <v>124</v>
      </c>
      <c r="B29" s="29" t="s">
        <v>227</v>
      </c>
      <c r="C29" s="29" t="s">
        <v>149</v>
      </c>
      <c r="D29" s="29" t="s">
        <v>167</v>
      </c>
      <c r="E29" s="29" t="s">
        <v>228</v>
      </c>
      <c r="F29" s="30">
        <v>46254.5</v>
      </c>
      <c r="G29" s="30">
        <v>46258.5</v>
      </c>
      <c r="H29" s="31">
        <f t="shared" si="1"/>
        <v>5</v>
      </c>
      <c r="I29" s="29" t="s">
        <v>229</v>
      </c>
      <c r="J29" s="29"/>
      <c r="K29" s="34">
        <v>1.0</v>
      </c>
      <c r="L29" s="34">
        <v>2.0</v>
      </c>
      <c r="M29" s="34">
        <v>2.0</v>
      </c>
      <c r="N29" s="34">
        <f t="shared" si="2"/>
        <v>5</v>
      </c>
      <c r="O29" s="40" t="s">
        <v>99</v>
      </c>
    </row>
    <row r="30" ht="15.75" customHeight="1">
      <c r="A30" s="28" t="s">
        <v>124</v>
      </c>
      <c r="B30" s="29" t="s">
        <v>230</v>
      </c>
      <c r="C30" s="29" t="s">
        <v>149</v>
      </c>
      <c r="D30" s="29" t="s">
        <v>167</v>
      </c>
      <c r="E30" s="29" t="s">
        <v>231</v>
      </c>
      <c r="F30" s="30">
        <v>46255.5</v>
      </c>
      <c r="G30" s="30">
        <v>46259.5</v>
      </c>
      <c r="H30" s="31">
        <f t="shared" si="1"/>
        <v>5</v>
      </c>
      <c r="I30" s="29" t="s">
        <v>232</v>
      </c>
      <c r="J30" s="29"/>
      <c r="K30" s="34">
        <v>1.0</v>
      </c>
      <c r="L30" s="34">
        <v>2.0</v>
      </c>
      <c r="M30" s="34">
        <v>3.0</v>
      </c>
      <c r="N30" s="34">
        <f t="shared" si="2"/>
        <v>6</v>
      </c>
      <c r="O30" s="40" t="s">
        <v>99</v>
      </c>
    </row>
    <row r="31" ht="15.75" customHeight="1">
      <c r="A31" s="28" t="s">
        <v>124</v>
      </c>
      <c r="B31" s="29" t="s">
        <v>233</v>
      </c>
      <c r="C31" s="29" t="s">
        <v>149</v>
      </c>
      <c r="D31" s="29" t="s">
        <v>234</v>
      </c>
      <c r="E31" s="29" t="s">
        <v>235</v>
      </c>
      <c r="F31" s="30">
        <v>46258.5</v>
      </c>
      <c r="G31" s="30">
        <v>46260.5</v>
      </c>
      <c r="H31" s="31">
        <f t="shared" si="1"/>
        <v>3</v>
      </c>
      <c r="I31" s="29" t="s">
        <v>236</v>
      </c>
      <c r="J31" s="29"/>
      <c r="K31" s="34">
        <v>1.0</v>
      </c>
      <c r="L31" s="34">
        <v>4.0</v>
      </c>
      <c r="M31" s="34">
        <v>4.0</v>
      </c>
      <c r="N31" s="34">
        <f t="shared" si="2"/>
        <v>9</v>
      </c>
      <c r="O31" s="40" t="s">
        <v>99</v>
      </c>
    </row>
    <row r="32" ht="15.75" customHeight="1">
      <c r="A32" s="10" t="s">
        <v>130</v>
      </c>
      <c r="B32" s="16" t="s">
        <v>237</v>
      </c>
      <c r="C32" s="16" t="s">
        <v>149</v>
      </c>
      <c r="D32" s="16" t="s">
        <v>167</v>
      </c>
      <c r="E32" s="16" t="s">
        <v>239</v>
      </c>
      <c r="F32" s="18">
        <v>46258.5</v>
      </c>
      <c r="G32" s="18">
        <v>46260.5</v>
      </c>
      <c r="H32" s="21">
        <f t="shared" si="1"/>
        <v>3</v>
      </c>
      <c r="I32" s="16" t="s">
        <v>240</v>
      </c>
      <c r="J32" s="16"/>
      <c r="K32" s="23">
        <v>1.0</v>
      </c>
      <c r="L32" s="23">
        <v>3.0</v>
      </c>
      <c r="M32" s="23">
        <v>3.0</v>
      </c>
      <c r="N32" s="23">
        <f t="shared" si="2"/>
        <v>7</v>
      </c>
      <c r="O32" s="16" t="s">
        <v>99</v>
      </c>
    </row>
    <row r="33" ht="15.75" customHeight="1">
      <c r="A33" s="28" t="s">
        <v>130</v>
      </c>
      <c r="B33" s="29" t="s">
        <v>241</v>
      </c>
      <c r="C33" s="29" t="s">
        <v>149</v>
      </c>
      <c r="D33" s="29" t="s">
        <v>167</v>
      </c>
      <c r="E33" s="29" t="s">
        <v>242</v>
      </c>
      <c r="F33" s="30">
        <v>46258.5</v>
      </c>
      <c r="G33" s="30">
        <v>46261.5</v>
      </c>
      <c r="H33" s="31">
        <f t="shared" si="1"/>
        <v>4</v>
      </c>
      <c r="I33" s="29" t="s">
        <v>243</v>
      </c>
      <c r="J33" s="29"/>
      <c r="K33" s="34">
        <v>1.0</v>
      </c>
      <c r="L33" s="34">
        <v>4.0</v>
      </c>
      <c r="M33" s="34">
        <v>3.0</v>
      </c>
      <c r="N33" s="34">
        <f t="shared" si="2"/>
        <v>8</v>
      </c>
      <c r="O33" s="40" t="s">
        <v>99</v>
      </c>
    </row>
    <row r="34" ht="15.75" customHeight="1">
      <c r="A34" s="28" t="s">
        <v>130</v>
      </c>
      <c r="B34" s="29" t="s">
        <v>244</v>
      </c>
      <c r="C34" s="29" t="s">
        <v>149</v>
      </c>
      <c r="D34" s="29" t="s">
        <v>167</v>
      </c>
      <c r="E34" s="29" t="s">
        <v>245</v>
      </c>
      <c r="F34" s="30">
        <v>46259.5</v>
      </c>
      <c r="G34" s="30">
        <v>46262.5</v>
      </c>
      <c r="H34" s="31">
        <f t="shared" si="1"/>
        <v>4</v>
      </c>
      <c r="I34" s="29" t="s">
        <v>246</v>
      </c>
      <c r="J34" s="29"/>
      <c r="K34" s="34">
        <v>2.0</v>
      </c>
      <c r="L34" s="34">
        <v>6.0</v>
      </c>
      <c r="M34" s="34">
        <v>5.0</v>
      </c>
      <c r="N34" s="34">
        <f t="shared" si="2"/>
        <v>13</v>
      </c>
      <c r="O34" s="40" t="s">
        <v>99</v>
      </c>
    </row>
    <row r="35" ht="15.75" customHeight="1">
      <c r="A35" s="28" t="s">
        <v>130</v>
      </c>
      <c r="B35" s="29" t="s">
        <v>247</v>
      </c>
      <c r="C35" s="29" t="s">
        <v>149</v>
      </c>
      <c r="D35" s="29" t="s">
        <v>167</v>
      </c>
      <c r="E35" s="29" t="s">
        <v>248</v>
      </c>
      <c r="F35" s="30">
        <v>46260.5</v>
      </c>
      <c r="G35" s="30">
        <v>46262.5</v>
      </c>
      <c r="H35" s="31">
        <f t="shared" si="1"/>
        <v>3</v>
      </c>
      <c r="I35" s="29" t="s">
        <v>249</v>
      </c>
      <c r="J35" s="29" t="s">
        <v>250</v>
      </c>
      <c r="K35" s="34">
        <v>2.0</v>
      </c>
      <c r="L35" s="34">
        <v>4.0</v>
      </c>
      <c r="M35" s="34">
        <v>4.0</v>
      </c>
      <c r="N35" s="34">
        <f t="shared" si="2"/>
        <v>10</v>
      </c>
      <c r="O35" s="40" t="s">
        <v>99</v>
      </c>
    </row>
    <row r="36" ht="15.75" customHeight="1">
      <c r="A36" s="28" t="s">
        <v>130</v>
      </c>
      <c r="B36" s="29" t="s">
        <v>251</v>
      </c>
      <c r="C36" s="29" t="s">
        <v>149</v>
      </c>
      <c r="D36" s="29" t="s">
        <v>167</v>
      </c>
      <c r="E36" s="29" t="s">
        <v>252</v>
      </c>
      <c r="F36" s="30">
        <v>46260.5</v>
      </c>
      <c r="G36" s="30">
        <v>46265.5</v>
      </c>
      <c r="H36" s="31">
        <f t="shared" si="1"/>
        <v>6</v>
      </c>
      <c r="I36" s="29" t="s">
        <v>253</v>
      </c>
      <c r="J36" s="29"/>
      <c r="K36" s="34">
        <v>2.0</v>
      </c>
      <c r="L36" s="34">
        <v>6.0</v>
      </c>
      <c r="M36" s="34">
        <v>4.0</v>
      </c>
      <c r="N36" s="34">
        <f t="shared" si="2"/>
        <v>12</v>
      </c>
      <c r="O36" s="40" t="s">
        <v>99</v>
      </c>
    </row>
    <row r="37" ht="15.75" customHeight="1">
      <c r="A37" s="28" t="s">
        <v>130</v>
      </c>
      <c r="B37" s="29" t="s">
        <v>254</v>
      </c>
      <c r="C37" s="29" t="s">
        <v>149</v>
      </c>
      <c r="D37" s="29" t="s">
        <v>167</v>
      </c>
      <c r="E37" s="29" t="s">
        <v>255</v>
      </c>
      <c r="F37" s="30">
        <v>46261.5</v>
      </c>
      <c r="G37" s="30">
        <v>46265.5</v>
      </c>
      <c r="H37" s="31">
        <f t="shared" si="1"/>
        <v>5</v>
      </c>
      <c r="I37" s="29" t="s">
        <v>256</v>
      </c>
      <c r="J37" s="29"/>
      <c r="K37" s="34">
        <v>2.0</v>
      </c>
      <c r="L37" s="34">
        <v>4.0</v>
      </c>
      <c r="M37" s="34">
        <v>2.0</v>
      </c>
      <c r="N37" s="34">
        <f t="shared" si="2"/>
        <v>8</v>
      </c>
      <c r="O37" s="40" t="s">
        <v>99</v>
      </c>
    </row>
    <row r="38" ht="15.75" customHeight="1">
      <c r="A38" s="28" t="s">
        <v>130</v>
      </c>
      <c r="B38" s="29" t="s">
        <v>257</v>
      </c>
      <c r="C38" s="29" t="s">
        <v>221</v>
      </c>
      <c r="D38" s="29" t="s">
        <v>167</v>
      </c>
      <c r="E38" s="29" t="s">
        <v>258</v>
      </c>
      <c r="F38" s="30">
        <v>46262.5</v>
      </c>
      <c r="G38" s="30">
        <v>46265.5</v>
      </c>
      <c r="H38" s="31">
        <f t="shared" si="1"/>
        <v>4</v>
      </c>
      <c r="I38" s="29" t="s">
        <v>259</v>
      </c>
      <c r="J38" s="29"/>
      <c r="K38" s="34">
        <v>1.0</v>
      </c>
      <c r="L38" s="34">
        <v>3.0</v>
      </c>
      <c r="M38" s="34">
        <v>2.0</v>
      </c>
      <c r="N38" s="34">
        <f t="shared" si="2"/>
        <v>6</v>
      </c>
      <c r="O38" s="40" t="s">
        <v>99</v>
      </c>
    </row>
    <row r="39" ht="15.75" customHeight="1">
      <c r="A39" s="10" t="s">
        <v>134</v>
      </c>
      <c r="B39" s="16" t="s">
        <v>260</v>
      </c>
      <c r="C39" s="16" t="s">
        <v>149</v>
      </c>
      <c r="D39" s="16" t="s">
        <v>167</v>
      </c>
      <c r="E39" s="16" t="s">
        <v>261</v>
      </c>
      <c r="F39" s="18">
        <v>46265.5</v>
      </c>
      <c r="G39" s="18">
        <v>46269.5</v>
      </c>
      <c r="H39" s="21">
        <f t="shared" si="1"/>
        <v>5</v>
      </c>
      <c r="I39" s="16" t="s">
        <v>262</v>
      </c>
      <c r="J39" s="16"/>
      <c r="K39" s="23">
        <v>2.0</v>
      </c>
      <c r="L39" s="23">
        <v>6.0</v>
      </c>
      <c r="M39" s="23">
        <v>8.0</v>
      </c>
      <c r="N39" s="23">
        <f t="shared" si="2"/>
        <v>16</v>
      </c>
      <c r="O39" s="16" t="s">
        <v>99</v>
      </c>
    </row>
    <row r="40" ht="15.75" customHeight="1">
      <c r="A40" s="28" t="s">
        <v>134</v>
      </c>
      <c r="B40" s="29" t="s">
        <v>263</v>
      </c>
      <c r="C40" s="29" t="s">
        <v>149</v>
      </c>
      <c r="D40" s="29" t="s">
        <v>167</v>
      </c>
      <c r="E40" s="29" t="s">
        <v>264</v>
      </c>
      <c r="F40" s="30">
        <v>46265.5</v>
      </c>
      <c r="G40" s="30">
        <v>46269.5</v>
      </c>
      <c r="H40" s="31">
        <f t="shared" si="1"/>
        <v>5</v>
      </c>
      <c r="I40" s="29" t="s">
        <v>265</v>
      </c>
      <c r="J40" s="29"/>
      <c r="K40" s="34">
        <v>2.0</v>
      </c>
      <c r="L40" s="34">
        <v>6.0</v>
      </c>
      <c r="M40" s="34">
        <v>5.0</v>
      </c>
      <c r="N40" s="34">
        <f t="shared" si="2"/>
        <v>13</v>
      </c>
      <c r="O40" s="40" t="s">
        <v>99</v>
      </c>
    </row>
    <row r="41" ht="15.75" customHeight="1">
      <c r="A41" s="28" t="s">
        <v>134</v>
      </c>
      <c r="B41" s="29" t="s">
        <v>266</v>
      </c>
      <c r="C41" s="29" t="s">
        <v>149</v>
      </c>
      <c r="D41" s="29" t="s">
        <v>167</v>
      </c>
      <c r="E41" s="29" t="s">
        <v>267</v>
      </c>
      <c r="F41" s="30">
        <v>46266.5</v>
      </c>
      <c r="G41" s="30">
        <v>46272.5</v>
      </c>
      <c r="H41" s="31">
        <f t="shared" si="1"/>
        <v>7</v>
      </c>
      <c r="I41" s="29" t="s">
        <v>268</v>
      </c>
      <c r="J41" s="29"/>
      <c r="K41" s="34">
        <v>2.0</v>
      </c>
      <c r="L41" s="34">
        <v>7.0</v>
      </c>
      <c r="M41" s="34">
        <v>4.0</v>
      </c>
      <c r="N41" s="34">
        <f t="shared" si="2"/>
        <v>13</v>
      </c>
      <c r="O41" s="40" t="s">
        <v>99</v>
      </c>
    </row>
    <row r="42" ht="15.75" customHeight="1">
      <c r="A42" s="28" t="s">
        <v>134</v>
      </c>
      <c r="B42" s="29" t="s">
        <v>269</v>
      </c>
      <c r="C42" s="29" t="s">
        <v>149</v>
      </c>
      <c r="D42" s="29" t="s">
        <v>270</v>
      </c>
      <c r="E42" s="29" t="s">
        <v>271</v>
      </c>
      <c r="F42" s="30">
        <v>46267.5</v>
      </c>
      <c r="G42" s="30">
        <v>46273.5</v>
      </c>
      <c r="H42" s="31">
        <f t="shared" si="1"/>
        <v>7</v>
      </c>
      <c r="I42" s="29" t="s">
        <v>272</v>
      </c>
      <c r="J42" s="29"/>
      <c r="K42" s="34">
        <v>1.0</v>
      </c>
      <c r="L42" s="34">
        <v>4.0</v>
      </c>
      <c r="M42" s="34">
        <v>4.0</v>
      </c>
      <c r="N42" s="34">
        <f t="shared" si="2"/>
        <v>9</v>
      </c>
      <c r="O42" s="40" t="s">
        <v>99</v>
      </c>
    </row>
    <row r="43" ht="15.75" customHeight="1">
      <c r="A43" s="28" t="s">
        <v>134</v>
      </c>
      <c r="B43" s="29" t="s">
        <v>273</v>
      </c>
      <c r="C43" s="29" t="s">
        <v>221</v>
      </c>
      <c r="D43" s="29" t="s">
        <v>167</v>
      </c>
      <c r="E43" s="29" t="s">
        <v>274</v>
      </c>
      <c r="F43" s="30">
        <v>46268.5</v>
      </c>
      <c r="G43" s="30">
        <v>46273.5</v>
      </c>
      <c r="H43" s="31">
        <f t="shared" si="1"/>
        <v>6</v>
      </c>
      <c r="I43" s="29" t="s">
        <v>275</v>
      </c>
      <c r="J43" s="29"/>
      <c r="K43" s="34">
        <v>1.0</v>
      </c>
      <c r="L43" s="34">
        <v>4.0</v>
      </c>
      <c r="M43" s="34">
        <v>2.0</v>
      </c>
      <c r="N43" s="34">
        <f t="shared" si="2"/>
        <v>7</v>
      </c>
      <c r="O43" s="40" t="s">
        <v>99</v>
      </c>
    </row>
    <row r="44" ht="15.75" customHeight="1">
      <c r="A44" s="28" t="s">
        <v>134</v>
      </c>
      <c r="B44" s="29" t="s">
        <v>276</v>
      </c>
      <c r="C44" s="29" t="s">
        <v>221</v>
      </c>
      <c r="D44" s="29" t="s">
        <v>167</v>
      </c>
      <c r="E44" s="29" t="s">
        <v>277</v>
      </c>
      <c r="F44" s="30">
        <v>46269.5</v>
      </c>
      <c r="G44" s="30">
        <v>46274.5</v>
      </c>
      <c r="H44" s="31">
        <f t="shared" si="1"/>
        <v>6</v>
      </c>
      <c r="I44" s="29" t="s">
        <v>278</v>
      </c>
      <c r="J44" s="29"/>
      <c r="K44" s="34">
        <v>2.0</v>
      </c>
      <c r="L44" s="34">
        <v>6.0</v>
      </c>
      <c r="M44" s="34">
        <v>2.0</v>
      </c>
      <c r="N44" s="34">
        <f t="shared" si="2"/>
        <v>10</v>
      </c>
      <c r="O44" s="40" t="s">
        <v>99</v>
      </c>
    </row>
    <row r="45" ht="15.75" customHeight="1">
      <c r="A45" s="10" t="s">
        <v>142</v>
      </c>
      <c r="B45" s="16" t="s">
        <v>279</v>
      </c>
      <c r="C45" s="16" t="s">
        <v>149</v>
      </c>
      <c r="D45" s="16" t="s">
        <v>280</v>
      </c>
      <c r="E45" s="16" t="s">
        <v>281</v>
      </c>
      <c r="F45" s="18">
        <v>46272.5</v>
      </c>
      <c r="G45" s="18">
        <v>46275.5</v>
      </c>
      <c r="H45" s="21">
        <f t="shared" si="1"/>
        <v>4</v>
      </c>
      <c r="I45" s="16" t="s">
        <v>282</v>
      </c>
      <c r="J45" s="16"/>
      <c r="K45" s="23">
        <v>2.0</v>
      </c>
      <c r="L45" s="23">
        <v>4.0</v>
      </c>
      <c r="M45" s="23">
        <v>6.0</v>
      </c>
      <c r="N45" s="23">
        <f t="shared" si="2"/>
        <v>12</v>
      </c>
      <c r="O45" s="16" t="s">
        <v>99</v>
      </c>
    </row>
    <row r="46" ht="15.75" customHeight="1">
      <c r="A46" s="28" t="s">
        <v>142</v>
      </c>
      <c r="B46" s="29" t="s">
        <v>283</v>
      </c>
      <c r="C46" s="29" t="s">
        <v>149</v>
      </c>
      <c r="D46" s="29" t="s">
        <v>280</v>
      </c>
      <c r="E46" s="29" t="s">
        <v>284</v>
      </c>
      <c r="F46" s="30">
        <v>46272.5</v>
      </c>
      <c r="G46" s="30">
        <v>46276.5</v>
      </c>
      <c r="H46" s="31">
        <f t="shared" si="1"/>
        <v>5</v>
      </c>
      <c r="I46" s="29" t="s">
        <v>285</v>
      </c>
      <c r="J46" s="29" t="s">
        <v>286</v>
      </c>
      <c r="K46" s="34">
        <v>3.0</v>
      </c>
      <c r="L46" s="34">
        <v>8.0</v>
      </c>
      <c r="M46" s="34">
        <v>5.0</v>
      </c>
      <c r="N46" s="34">
        <f t="shared" si="2"/>
        <v>16</v>
      </c>
      <c r="O46" s="40" t="s">
        <v>99</v>
      </c>
    </row>
    <row r="47" ht="15.75" customHeight="1">
      <c r="A47" s="28" t="s">
        <v>142</v>
      </c>
      <c r="B47" s="29" t="s">
        <v>287</v>
      </c>
      <c r="C47" s="29" t="s">
        <v>149</v>
      </c>
      <c r="D47" s="29" t="s">
        <v>280</v>
      </c>
      <c r="E47" s="29" t="s">
        <v>288</v>
      </c>
      <c r="F47" s="30">
        <v>46274.5</v>
      </c>
      <c r="G47" s="30">
        <v>46279.5</v>
      </c>
      <c r="H47" s="31">
        <f t="shared" si="1"/>
        <v>6</v>
      </c>
      <c r="I47" s="29" t="s">
        <v>289</v>
      </c>
      <c r="J47" s="29"/>
      <c r="K47" s="34">
        <v>2.0</v>
      </c>
      <c r="L47" s="34">
        <v>4.0</v>
      </c>
      <c r="M47" s="34">
        <v>5.0</v>
      </c>
      <c r="N47" s="34">
        <f t="shared" si="2"/>
        <v>11</v>
      </c>
      <c r="O47" s="40" t="s">
        <v>99</v>
      </c>
    </row>
    <row r="48" ht="15.75" customHeight="1">
      <c r="A48" s="28" t="s">
        <v>142</v>
      </c>
      <c r="B48" s="29" t="s">
        <v>290</v>
      </c>
      <c r="C48" s="29" t="s">
        <v>149</v>
      </c>
      <c r="D48" s="29" t="s">
        <v>280</v>
      </c>
      <c r="E48" s="29" t="s">
        <v>291</v>
      </c>
      <c r="F48" s="30">
        <v>46275.5</v>
      </c>
      <c r="G48" s="30">
        <v>46281.5</v>
      </c>
      <c r="H48" s="31">
        <f t="shared" si="1"/>
        <v>7</v>
      </c>
      <c r="I48" s="29" t="s">
        <v>292</v>
      </c>
      <c r="J48" s="29"/>
      <c r="K48" s="34">
        <v>3.0</v>
      </c>
      <c r="L48" s="34">
        <v>8.0</v>
      </c>
      <c r="M48" s="34">
        <v>5.0</v>
      </c>
      <c r="N48" s="34">
        <f t="shared" si="2"/>
        <v>16</v>
      </c>
      <c r="O48" s="40" t="s">
        <v>99</v>
      </c>
    </row>
    <row r="49" ht="15.75" customHeight="1">
      <c r="A49" s="28" t="s">
        <v>142</v>
      </c>
      <c r="B49" s="29" t="s">
        <v>100</v>
      </c>
      <c r="C49" s="29" t="s">
        <v>149</v>
      </c>
      <c r="D49" s="29" t="s">
        <v>280</v>
      </c>
      <c r="E49" s="29" t="s">
        <v>293</v>
      </c>
      <c r="F49" s="30">
        <v>46276.5</v>
      </c>
      <c r="G49" s="30">
        <v>46282.5</v>
      </c>
      <c r="H49" s="31">
        <f t="shared" si="1"/>
        <v>7</v>
      </c>
      <c r="I49" s="29" t="s">
        <v>294</v>
      </c>
      <c r="J49" s="29"/>
      <c r="K49" s="34">
        <v>2.0</v>
      </c>
      <c r="L49" s="34">
        <v>7.0</v>
      </c>
      <c r="M49" s="34">
        <v>4.0</v>
      </c>
      <c r="N49" s="34">
        <f t="shared" si="2"/>
        <v>13</v>
      </c>
      <c r="O49" s="40" t="s">
        <v>99</v>
      </c>
    </row>
    <row r="50" ht="15.75" customHeight="1">
      <c r="A50" s="28" t="s">
        <v>142</v>
      </c>
      <c r="B50" s="29" t="s">
        <v>295</v>
      </c>
      <c r="C50" s="29" t="s">
        <v>149</v>
      </c>
      <c r="D50" s="29" t="s">
        <v>167</v>
      </c>
      <c r="E50" s="29" t="s">
        <v>296</v>
      </c>
      <c r="F50" s="30">
        <v>46279.5</v>
      </c>
      <c r="G50" s="30">
        <v>46283.5</v>
      </c>
      <c r="H50" s="31">
        <f t="shared" si="1"/>
        <v>5</v>
      </c>
      <c r="I50" s="29" t="s">
        <v>297</v>
      </c>
      <c r="J50" s="29"/>
      <c r="K50" s="34">
        <v>2.0</v>
      </c>
      <c r="L50" s="34">
        <v>5.0</v>
      </c>
      <c r="M50" s="34">
        <v>4.0</v>
      </c>
      <c r="N50" s="34">
        <f t="shared" si="2"/>
        <v>11</v>
      </c>
      <c r="O50" s="40" t="s">
        <v>99</v>
      </c>
    </row>
    <row r="51" ht="15.75" customHeight="1">
      <c r="A51" s="28" t="s">
        <v>142</v>
      </c>
      <c r="B51" s="29" t="s">
        <v>298</v>
      </c>
      <c r="C51" s="29" t="s">
        <v>149</v>
      </c>
      <c r="D51" s="29" t="s">
        <v>270</v>
      </c>
      <c r="E51" s="29" t="s">
        <v>299</v>
      </c>
      <c r="F51" s="30">
        <v>46279.5</v>
      </c>
      <c r="G51" s="30">
        <v>46283.5</v>
      </c>
      <c r="H51" s="31">
        <f t="shared" si="1"/>
        <v>5</v>
      </c>
      <c r="I51" s="29" t="s">
        <v>300</v>
      </c>
      <c r="J51" s="29"/>
      <c r="K51" s="34">
        <v>2.0</v>
      </c>
      <c r="L51" s="34">
        <v>5.0</v>
      </c>
      <c r="M51" s="34">
        <v>2.0</v>
      </c>
      <c r="N51" s="34">
        <f t="shared" si="2"/>
        <v>9</v>
      </c>
      <c r="O51" s="40" t="s">
        <v>99</v>
      </c>
    </row>
    <row r="52" ht="15.75" customHeight="1">
      <c r="A52" s="10" t="s">
        <v>146</v>
      </c>
      <c r="B52" s="16" t="s">
        <v>301</v>
      </c>
      <c r="C52" s="16" t="s">
        <v>149</v>
      </c>
      <c r="D52" s="16" t="s">
        <v>167</v>
      </c>
      <c r="E52" s="16" t="s">
        <v>302</v>
      </c>
      <c r="F52" s="18">
        <v>46281.5</v>
      </c>
      <c r="G52" s="18">
        <v>46283.5</v>
      </c>
      <c r="H52" s="21">
        <f t="shared" si="1"/>
        <v>3</v>
      </c>
      <c r="I52" s="16" t="s">
        <v>303</v>
      </c>
      <c r="J52" s="16"/>
      <c r="K52" s="23">
        <v>1.0</v>
      </c>
      <c r="L52" s="23">
        <v>2.0</v>
      </c>
      <c r="M52" s="23">
        <v>3.0</v>
      </c>
      <c r="N52" s="23">
        <f t="shared" si="2"/>
        <v>6</v>
      </c>
      <c r="O52" s="16" t="s">
        <v>99</v>
      </c>
    </row>
    <row r="53" ht="15.75" customHeight="1">
      <c r="A53" s="28" t="s">
        <v>146</v>
      </c>
      <c r="B53" s="29" t="s">
        <v>304</v>
      </c>
      <c r="C53" s="29" t="s">
        <v>149</v>
      </c>
      <c r="D53" s="29" t="s">
        <v>167</v>
      </c>
      <c r="E53" s="29" t="s">
        <v>305</v>
      </c>
      <c r="F53" s="30">
        <v>46282.5</v>
      </c>
      <c r="G53" s="30">
        <v>46286.5</v>
      </c>
      <c r="H53" s="31">
        <f t="shared" si="1"/>
        <v>5</v>
      </c>
      <c r="I53" s="29" t="s">
        <v>306</v>
      </c>
      <c r="J53" s="29"/>
      <c r="K53" s="34">
        <v>1.0</v>
      </c>
      <c r="L53" s="34">
        <v>3.0</v>
      </c>
      <c r="M53" s="34">
        <v>3.0</v>
      </c>
      <c r="N53" s="34">
        <f t="shared" si="2"/>
        <v>7</v>
      </c>
      <c r="O53" s="40" t="s">
        <v>99</v>
      </c>
    </row>
    <row r="54" ht="15.75" customHeight="1">
      <c r="A54" s="28" t="s">
        <v>146</v>
      </c>
      <c r="B54" s="29" t="s">
        <v>307</v>
      </c>
      <c r="C54" s="29" t="s">
        <v>149</v>
      </c>
      <c r="D54" s="29" t="s">
        <v>167</v>
      </c>
      <c r="E54" s="29" t="s">
        <v>308</v>
      </c>
      <c r="F54" s="30">
        <v>46283.5</v>
      </c>
      <c r="G54" s="30">
        <v>46287.5</v>
      </c>
      <c r="H54" s="31">
        <f t="shared" si="1"/>
        <v>5</v>
      </c>
      <c r="I54" s="29" t="s">
        <v>309</v>
      </c>
      <c r="J54" s="29" t="s">
        <v>310</v>
      </c>
      <c r="K54" s="34">
        <v>2.0</v>
      </c>
      <c r="L54" s="34">
        <v>3.0</v>
      </c>
      <c r="M54" s="34">
        <v>2.0</v>
      </c>
      <c r="N54" s="34">
        <f t="shared" si="2"/>
        <v>7</v>
      </c>
      <c r="O54" s="40" t="s">
        <v>99</v>
      </c>
    </row>
    <row r="55" ht="15.75" customHeight="1">
      <c r="A55" s="10" t="s">
        <v>154</v>
      </c>
      <c r="B55" s="16" t="s">
        <v>311</v>
      </c>
      <c r="C55" s="16" t="s">
        <v>149</v>
      </c>
      <c r="D55" s="16" t="s">
        <v>167</v>
      </c>
      <c r="E55" s="16" t="s">
        <v>312</v>
      </c>
      <c r="F55" s="18">
        <v>46286.5</v>
      </c>
      <c r="G55" s="18">
        <v>46289.5</v>
      </c>
      <c r="H55" s="21">
        <f t="shared" si="1"/>
        <v>4</v>
      </c>
      <c r="I55" s="16" t="s">
        <v>313</v>
      </c>
      <c r="J55" s="16"/>
      <c r="K55" s="23">
        <v>2.0</v>
      </c>
      <c r="L55" s="23">
        <v>3.0</v>
      </c>
      <c r="M55" s="23">
        <v>3.0</v>
      </c>
      <c r="N55" s="23">
        <f t="shared" si="2"/>
        <v>8</v>
      </c>
      <c r="O55" s="16" t="s">
        <v>99</v>
      </c>
    </row>
    <row r="56" ht="15.75" customHeight="1">
      <c r="A56" s="28" t="s">
        <v>154</v>
      </c>
      <c r="B56" s="29" t="s">
        <v>314</v>
      </c>
      <c r="C56" s="29" t="s">
        <v>149</v>
      </c>
      <c r="D56" s="29" t="s">
        <v>167</v>
      </c>
      <c r="E56" s="29" t="s">
        <v>315</v>
      </c>
      <c r="F56" s="30">
        <v>46286.5</v>
      </c>
      <c r="G56" s="30">
        <v>46289.5</v>
      </c>
      <c r="H56" s="31">
        <f t="shared" si="1"/>
        <v>4</v>
      </c>
      <c r="I56" s="29" t="s">
        <v>316</v>
      </c>
      <c r="J56" s="29"/>
      <c r="K56" s="34">
        <v>1.0</v>
      </c>
      <c r="L56" s="34">
        <v>3.0</v>
      </c>
      <c r="M56" s="34">
        <v>2.0</v>
      </c>
      <c r="N56" s="34">
        <f t="shared" si="2"/>
        <v>6</v>
      </c>
      <c r="O56" s="40" t="s">
        <v>99</v>
      </c>
    </row>
    <row r="57" ht="15.75" customHeight="1">
      <c r="A57" s="28" t="s">
        <v>154</v>
      </c>
      <c r="B57" s="29" t="s">
        <v>317</v>
      </c>
      <c r="C57" s="29" t="s">
        <v>149</v>
      </c>
      <c r="D57" s="29" t="s">
        <v>167</v>
      </c>
      <c r="E57" s="29" t="s">
        <v>318</v>
      </c>
      <c r="F57" s="30">
        <v>46287.5</v>
      </c>
      <c r="G57" s="30">
        <v>46290.5</v>
      </c>
      <c r="H57" s="31">
        <f t="shared" si="1"/>
        <v>4</v>
      </c>
      <c r="I57" s="29" t="s">
        <v>319</v>
      </c>
      <c r="J57" s="29"/>
      <c r="K57" s="34">
        <v>1.0</v>
      </c>
      <c r="L57" s="34">
        <v>3.0</v>
      </c>
      <c r="M57" s="34">
        <v>3.0</v>
      </c>
      <c r="N57" s="34">
        <f t="shared" si="2"/>
        <v>7</v>
      </c>
      <c r="O57" s="40" t="s">
        <v>99</v>
      </c>
    </row>
    <row r="58" ht="15.75" customHeight="1">
      <c r="A58" s="28" t="s">
        <v>154</v>
      </c>
      <c r="B58" s="29" t="s">
        <v>320</v>
      </c>
      <c r="C58" s="29" t="s">
        <v>149</v>
      </c>
      <c r="D58" s="29" t="s">
        <v>167</v>
      </c>
      <c r="E58" s="29" t="s">
        <v>321</v>
      </c>
      <c r="F58" s="30">
        <v>46287.5</v>
      </c>
      <c r="G58" s="30">
        <v>46290.5</v>
      </c>
      <c r="H58" s="31">
        <f t="shared" si="1"/>
        <v>4</v>
      </c>
      <c r="I58" s="29" t="s">
        <v>322</v>
      </c>
      <c r="J58" s="29"/>
      <c r="K58" s="34">
        <v>2.0</v>
      </c>
      <c r="L58" s="34">
        <v>3.0</v>
      </c>
      <c r="M58" s="34">
        <v>3.0</v>
      </c>
      <c r="N58" s="34">
        <f t="shared" si="2"/>
        <v>8</v>
      </c>
      <c r="O58" s="40" t="s">
        <v>99</v>
      </c>
    </row>
    <row r="59" ht="15.75" customHeight="1">
      <c r="A59" s="10" t="s">
        <v>158</v>
      </c>
      <c r="B59" s="16" t="s">
        <v>323</v>
      </c>
      <c r="C59" s="16" t="s">
        <v>324</v>
      </c>
      <c r="D59" s="16" t="s">
        <v>325</v>
      </c>
      <c r="E59" s="16" t="s">
        <v>326</v>
      </c>
      <c r="F59" s="18">
        <v>46286.5</v>
      </c>
      <c r="G59" s="18">
        <v>46290.5</v>
      </c>
      <c r="H59" s="21">
        <f t="shared" si="1"/>
        <v>5</v>
      </c>
      <c r="I59" s="16" t="s">
        <v>327</v>
      </c>
      <c r="J59" s="16"/>
      <c r="K59" s="23">
        <v>10.0</v>
      </c>
      <c r="L59" s="23">
        <v>5.0</v>
      </c>
      <c r="M59" s="23">
        <v>5.0</v>
      </c>
      <c r="N59" s="23">
        <f t="shared" si="2"/>
        <v>20</v>
      </c>
      <c r="O59" s="16" t="s">
        <v>99</v>
      </c>
    </row>
    <row r="60" ht="15.75" customHeight="1">
      <c r="A60" s="28" t="s">
        <v>158</v>
      </c>
      <c r="B60" s="29" t="s">
        <v>328</v>
      </c>
      <c r="C60" s="29" t="s">
        <v>324</v>
      </c>
      <c r="D60" s="29" t="s">
        <v>325</v>
      </c>
      <c r="E60" s="29" t="s">
        <v>329</v>
      </c>
      <c r="F60" s="30">
        <v>46287.5</v>
      </c>
      <c r="G60" s="30">
        <v>46293.5</v>
      </c>
      <c r="H60" s="31">
        <f t="shared" si="1"/>
        <v>7</v>
      </c>
      <c r="I60" s="29" t="s">
        <v>330</v>
      </c>
      <c r="J60" s="29"/>
      <c r="K60" s="34">
        <v>8.0</v>
      </c>
      <c r="L60" s="34">
        <v>7.0</v>
      </c>
      <c r="M60" s="34">
        <v>3.0</v>
      </c>
      <c r="N60" s="34">
        <f t="shared" si="2"/>
        <v>18</v>
      </c>
      <c r="O60" s="40" t="s">
        <v>99</v>
      </c>
    </row>
    <row r="61" ht="15.75" customHeight="1">
      <c r="A61" s="28" t="s">
        <v>158</v>
      </c>
      <c r="B61" s="29" t="s">
        <v>331</v>
      </c>
      <c r="C61" s="29" t="s">
        <v>324</v>
      </c>
      <c r="D61" s="29" t="s">
        <v>325</v>
      </c>
      <c r="E61" s="29" t="s">
        <v>332</v>
      </c>
      <c r="F61" s="30">
        <v>46289.5</v>
      </c>
      <c r="G61" s="30">
        <v>46294.5</v>
      </c>
      <c r="H61" s="31">
        <f t="shared" si="1"/>
        <v>6</v>
      </c>
      <c r="I61" s="29" t="s">
        <v>333</v>
      </c>
      <c r="J61" s="29"/>
      <c r="K61" s="34">
        <v>6.0</v>
      </c>
      <c r="L61" s="34">
        <v>3.0</v>
      </c>
      <c r="M61" s="34">
        <v>5.0</v>
      </c>
      <c r="N61" s="34">
        <f t="shared" si="2"/>
        <v>14</v>
      </c>
      <c r="O61" s="40" t="s">
        <v>99</v>
      </c>
    </row>
    <row r="62" ht="15.75" customHeight="1">
      <c r="A62" s="28" t="s">
        <v>158</v>
      </c>
      <c r="B62" s="29" t="s">
        <v>334</v>
      </c>
      <c r="C62" s="29" t="s">
        <v>335</v>
      </c>
      <c r="D62" s="29" t="s">
        <v>325</v>
      </c>
      <c r="E62" s="29" t="s">
        <v>336</v>
      </c>
      <c r="F62" s="30">
        <v>46293.5</v>
      </c>
      <c r="G62" s="30">
        <v>46297.5</v>
      </c>
      <c r="H62" s="31">
        <f t="shared" si="1"/>
        <v>5</v>
      </c>
      <c r="I62" s="29" t="s">
        <v>337</v>
      </c>
      <c r="J62" s="29"/>
      <c r="K62" s="34">
        <v>6.0</v>
      </c>
      <c r="L62" s="34">
        <v>4.0</v>
      </c>
      <c r="M62" s="34">
        <v>4.0</v>
      </c>
      <c r="N62" s="34">
        <f t="shared" si="2"/>
        <v>14</v>
      </c>
      <c r="O62" s="40" t="s">
        <v>99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O1"/>
    <mergeCell ref="A2:O2"/>
  </mergeCells>
  <conditionalFormatting sqref="O5:O62">
    <cfRule type="containsText" dxfId="0" priority="1" operator="containsText" text="Hoàn thành">
      <formula>NOT(ISERROR(SEARCH(("Hoàn thành"),(O5))))</formula>
    </cfRule>
  </conditionalFormatting>
  <conditionalFormatting sqref="O5:O62">
    <cfRule type="containsText" dxfId="1" priority="2" operator="containsText" text="Đang làm">
      <formula>NOT(ISERROR(SEARCH(("Đang làm"),(O5))))</formula>
    </cfRule>
  </conditionalFormatting>
  <conditionalFormatting sqref="O5:O62">
    <cfRule type="containsText" dxfId="2" priority="3" operator="containsText" text="Đang test">
      <formula>NOT(ISERROR(SEARCH(("Đang test"),(O5))))</formula>
    </cfRule>
  </conditionalFormatting>
  <dataValidations>
    <dataValidation type="list" allowBlank="1" sqref="O5:O62">
      <formula1>"Chưa bắt đầu,Đang làm,Đang test,Hoàn thành,Tạm dừng"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0.0"/>
    <col customWidth="1" min="2" max="2" width="31.0"/>
    <col customWidth="1" min="3" max="3" width="40.0"/>
    <col customWidth="1" min="4" max="12" width="13.0"/>
    <col customWidth="1" min="13" max="26" width="8.63"/>
  </cols>
  <sheetData>
    <row r="1" ht="33.75" customHeight="1">
      <c r="A1" s="1" t="s">
        <v>0</v>
      </c>
    </row>
    <row r="2" ht="30.0" customHeight="1">
      <c r="A2" s="3" t="s">
        <v>4</v>
      </c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ht="31.5" customHeight="1">
      <c r="A4" s="4" t="s">
        <v>10</v>
      </c>
      <c r="B4" s="4" t="s">
        <v>14</v>
      </c>
      <c r="C4" s="4" t="s">
        <v>16</v>
      </c>
      <c r="D4" s="4" t="s">
        <v>20</v>
      </c>
      <c r="E4" s="4" t="s">
        <v>31</v>
      </c>
      <c r="F4" s="4" t="s">
        <v>35</v>
      </c>
      <c r="G4" s="4" t="s">
        <v>38</v>
      </c>
      <c r="H4" s="4" t="s">
        <v>41</v>
      </c>
      <c r="I4" s="4" t="s">
        <v>45</v>
      </c>
      <c r="J4" s="4" t="s">
        <v>47</v>
      </c>
      <c r="K4" s="4" t="s">
        <v>50</v>
      </c>
      <c r="L4" s="4" t="s">
        <v>52</v>
      </c>
    </row>
    <row r="5" ht="31.5" customHeight="1">
      <c r="A5" s="4"/>
      <c r="B5" s="4"/>
      <c r="C5" s="4"/>
      <c r="D5" s="12">
        <v>46243.5</v>
      </c>
      <c r="E5" s="12">
        <v>46251.5</v>
      </c>
      <c r="F5" s="12">
        <v>46258.5</v>
      </c>
      <c r="G5" s="12">
        <v>46265.5</v>
      </c>
      <c r="H5" s="12">
        <v>46272.5</v>
      </c>
      <c r="I5" s="12">
        <v>46279.5</v>
      </c>
      <c r="J5" s="12">
        <v>46286.5</v>
      </c>
      <c r="K5" s="12">
        <v>46293.5</v>
      </c>
      <c r="L5" s="12">
        <v>46300.5</v>
      </c>
    </row>
    <row r="6" ht="31.5" customHeight="1">
      <c r="A6" s="5" t="s">
        <v>58</v>
      </c>
      <c r="B6" s="6" t="s">
        <v>68</v>
      </c>
      <c r="C6" s="6" t="s">
        <v>69</v>
      </c>
      <c r="D6" s="19" t="s">
        <v>72</v>
      </c>
      <c r="E6" s="20"/>
      <c r="F6" s="20"/>
      <c r="G6" s="20"/>
      <c r="H6" s="20"/>
      <c r="I6" s="20"/>
      <c r="J6" s="20"/>
      <c r="K6" s="20"/>
      <c r="L6" s="22"/>
    </row>
    <row r="7" ht="31.5" customHeight="1">
      <c r="A7" s="13" t="s">
        <v>86</v>
      </c>
      <c r="B7" s="15" t="s">
        <v>88</v>
      </c>
      <c r="C7" s="15" t="s">
        <v>91</v>
      </c>
      <c r="D7" s="24" t="s">
        <v>72</v>
      </c>
      <c r="E7" s="25"/>
      <c r="F7" s="25"/>
      <c r="G7" s="25"/>
      <c r="H7" s="25"/>
      <c r="I7" s="25"/>
      <c r="J7" s="25"/>
      <c r="K7" s="25"/>
      <c r="L7" s="27"/>
    </row>
    <row r="8" ht="31.5" customHeight="1">
      <c r="A8" s="13" t="s">
        <v>101</v>
      </c>
      <c r="B8" s="15" t="s">
        <v>103</v>
      </c>
      <c r="C8" s="15" t="s">
        <v>105</v>
      </c>
      <c r="D8" s="25"/>
      <c r="E8" s="24" t="s">
        <v>72</v>
      </c>
      <c r="F8" s="25"/>
      <c r="G8" s="25"/>
      <c r="H8" s="25"/>
      <c r="I8" s="25"/>
      <c r="J8" s="25"/>
      <c r="K8" s="25"/>
      <c r="L8" s="27"/>
    </row>
    <row r="9" ht="31.5" customHeight="1">
      <c r="A9" s="13" t="s">
        <v>110</v>
      </c>
      <c r="B9" s="15" t="s">
        <v>112</v>
      </c>
      <c r="C9" s="15" t="s">
        <v>114</v>
      </c>
      <c r="D9" s="25"/>
      <c r="E9" s="24" t="s">
        <v>72</v>
      </c>
      <c r="F9" s="24" t="s">
        <v>72</v>
      </c>
      <c r="G9" s="25"/>
      <c r="H9" s="25"/>
      <c r="I9" s="25"/>
      <c r="J9" s="25"/>
      <c r="K9" s="25"/>
      <c r="L9" s="27"/>
    </row>
    <row r="10" ht="31.5" customHeight="1">
      <c r="A10" s="13" t="s">
        <v>124</v>
      </c>
      <c r="B10" s="15" t="s">
        <v>125</v>
      </c>
      <c r="C10" s="15" t="s">
        <v>126</v>
      </c>
      <c r="D10" s="25"/>
      <c r="E10" s="24" t="s">
        <v>72</v>
      </c>
      <c r="F10" s="24" t="s">
        <v>72</v>
      </c>
      <c r="G10" s="25"/>
      <c r="H10" s="25"/>
      <c r="I10" s="25"/>
      <c r="J10" s="25"/>
      <c r="K10" s="25"/>
      <c r="L10" s="27"/>
    </row>
    <row r="11" ht="31.5" customHeight="1">
      <c r="A11" s="13" t="s">
        <v>130</v>
      </c>
      <c r="B11" s="15" t="s">
        <v>131</v>
      </c>
      <c r="C11" s="15" t="s">
        <v>132</v>
      </c>
      <c r="D11" s="25"/>
      <c r="E11" s="25"/>
      <c r="F11" s="24" t="s">
        <v>72</v>
      </c>
      <c r="G11" s="24" t="s">
        <v>72</v>
      </c>
      <c r="H11" s="25"/>
      <c r="I11" s="25"/>
      <c r="J11" s="25"/>
      <c r="K11" s="25"/>
      <c r="L11" s="27"/>
    </row>
    <row r="12" ht="31.5" customHeight="1">
      <c r="A12" s="13" t="s">
        <v>134</v>
      </c>
      <c r="B12" s="15" t="s">
        <v>136</v>
      </c>
      <c r="C12" s="15" t="s">
        <v>137</v>
      </c>
      <c r="D12" s="25"/>
      <c r="E12" s="25"/>
      <c r="F12" s="25"/>
      <c r="G12" s="24" t="s">
        <v>72</v>
      </c>
      <c r="H12" s="24" t="s">
        <v>72</v>
      </c>
      <c r="I12" s="25"/>
      <c r="J12" s="25"/>
      <c r="K12" s="25"/>
      <c r="L12" s="27"/>
    </row>
    <row r="13" ht="31.5" customHeight="1">
      <c r="A13" s="13" t="s">
        <v>142</v>
      </c>
      <c r="B13" s="15" t="s">
        <v>143</v>
      </c>
      <c r="C13" s="15" t="s">
        <v>144</v>
      </c>
      <c r="D13" s="25"/>
      <c r="E13" s="25"/>
      <c r="F13" s="25"/>
      <c r="G13" s="25"/>
      <c r="H13" s="24" t="s">
        <v>72</v>
      </c>
      <c r="I13" s="24" t="s">
        <v>72</v>
      </c>
      <c r="J13" s="25"/>
      <c r="K13" s="25"/>
      <c r="L13" s="27"/>
    </row>
    <row r="14" ht="31.5" customHeight="1">
      <c r="A14" s="13" t="s">
        <v>146</v>
      </c>
      <c r="B14" s="15" t="s">
        <v>148</v>
      </c>
      <c r="C14" s="15" t="s">
        <v>150</v>
      </c>
      <c r="D14" s="25"/>
      <c r="E14" s="25"/>
      <c r="F14" s="25"/>
      <c r="G14" s="25"/>
      <c r="H14" s="25"/>
      <c r="I14" s="24" t="s">
        <v>72</v>
      </c>
      <c r="J14" s="24" t="s">
        <v>72</v>
      </c>
      <c r="K14" s="25"/>
      <c r="L14" s="27"/>
    </row>
    <row r="15" ht="31.5" customHeight="1">
      <c r="A15" s="13" t="s">
        <v>154</v>
      </c>
      <c r="B15" s="15" t="s">
        <v>155</v>
      </c>
      <c r="C15" s="15" t="s">
        <v>156</v>
      </c>
      <c r="D15" s="25"/>
      <c r="E15" s="25"/>
      <c r="F15" s="25"/>
      <c r="G15" s="25"/>
      <c r="H15" s="25"/>
      <c r="I15" s="25"/>
      <c r="J15" s="24" t="s">
        <v>72</v>
      </c>
      <c r="K15" s="25"/>
      <c r="L15" s="27"/>
    </row>
    <row r="16" ht="31.5" customHeight="1">
      <c r="A16" s="13" t="s">
        <v>158</v>
      </c>
      <c r="B16" s="15" t="s">
        <v>159</v>
      </c>
      <c r="C16" s="15" t="s">
        <v>160</v>
      </c>
      <c r="D16" s="25"/>
      <c r="E16" s="25"/>
      <c r="F16" s="25"/>
      <c r="G16" s="25"/>
      <c r="H16" s="25"/>
      <c r="I16" s="25"/>
      <c r="J16" s="24" t="s">
        <v>72</v>
      </c>
      <c r="K16" s="24" t="s">
        <v>72</v>
      </c>
      <c r="L16" s="27"/>
    </row>
    <row r="17" ht="31.5" customHeight="1">
      <c r="A17" s="48" t="s">
        <v>163</v>
      </c>
      <c r="B17" s="49" t="s">
        <v>164</v>
      </c>
      <c r="C17" s="49" t="s">
        <v>166</v>
      </c>
      <c r="D17" s="50"/>
      <c r="E17" s="50"/>
      <c r="F17" s="50"/>
      <c r="G17" s="50"/>
      <c r="H17" s="50"/>
      <c r="I17" s="50"/>
      <c r="J17" s="50"/>
      <c r="K17" s="50"/>
      <c r="L17" s="51" t="s">
        <v>72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L1"/>
    <mergeCell ref="A2:L2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8.0"/>
    <col customWidth="1" min="2" max="2" width="44.0"/>
    <col customWidth="1" min="3" max="3" width="34.0"/>
    <col customWidth="1" min="4" max="4" width="38.0"/>
    <col customWidth="1" min="5" max="5" width="18.0"/>
    <col customWidth="1" min="6" max="6" width="15.0"/>
    <col customWidth="1" min="7" max="26" width="8.63"/>
  </cols>
  <sheetData>
    <row r="1" ht="33.75" customHeight="1">
      <c r="A1" s="1" t="s">
        <v>3</v>
      </c>
    </row>
    <row r="2" ht="30.0" customHeight="1">
      <c r="A2" s="3" t="s">
        <v>7</v>
      </c>
    </row>
    <row r="3">
      <c r="A3" s="2"/>
      <c r="B3" s="2"/>
      <c r="C3" s="2"/>
      <c r="D3" s="2"/>
      <c r="E3" s="2"/>
      <c r="F3" s="2"/>
    </row>
    <row r="4" ht="31.5" customHeight="1">
      <c r="A4" s="4" t="s">
        <v>8</v>
      </c>
      <c r="B4" s="4" t="s">
        <v>13</v>
      </c>
      <c r="C4" s="4" t="s">
        <v>18</v>
      </c>
      <c r="D4" s="4" t="s">
        <v>22</v>
      </c>
      <c r="E4" s="4" t="s">
        <v>25</v>
      </c>
      <c r="F4" s="4" t="s">
        <v>28</v>
      </c>
    </row>
    <row r="5">
      <c r="A5" s="5" t="s">
        <v>34</v>
      </c>
      <c r="B5" s="6" t="s">
        <v>42</v>
      </c>
      <c r="C5" s="6" t="s">
        <v>48</v>
      </c>
      <c r="D5" s="6" t="s">
        <v>53</v>
      </c>
      <c r="E5" s="6" t="s">
        <v>55</v>
      </c>
      <c r="F5" s="9">
        <v>46243.5</v>
      </c>
    </row>
    <row r="6">
      <c r="A6" s="13" t="s">
        <v>59</v>
      </c>
      <c r="B6" s="15" t="s">
        <v>61</v>
      </c>
      <c r="C6" s="15" t="s">
        <v>62</v>
      </c>
      <c r="D6" s="15" t="s">
        <v>63</v>
      </c>
      <c r="E6" s="15" t="s">
        <v>55</v>
      </c>
      <c r="F6" s="17">
        <v>46243.5</v>
      </c>
    </row>
    <row r="7">
      <c r="A7" s="13" t="s">
        <v>67</v>
      </c>
      <c r="B7" s="15" t="s">
        <v>70</v>
      </c>
      <c r="C7" s="15" t="s">
        <v>71</v>
      </c>
      <c r="D7" s="15" t="s">
        <v>73</v>
      </c>
      <c r="E7" s="15" t="s">
        <v>74</v>
      </c>
      <c r="F7" s="17">
        <v>46244.5</v>
      </c>
    </row>
    <row r="8">
      <c r="A8" s="13" t="s">
        <v>75</v>
      </c>
      <c r="B8" s="15" t="s">
        <v>76</v>
      </c>
      <c r="C8" s="15" t="s">
        <v>77</v>
      </c>
      <c r="D8" s="15" t="s">
        <v>78</v>
      </c>
      <c r="E8" s="15" t="s">
        <v>79</v>
      </c>
      <c r="F8" s="17">
        <v>46246.5</v>
      </c>
    </row>
    <row r="9">
      <c r="A9" s="13" t="s">
        <v>80</v>
      </c>
      <c r="B9" s="15" t="s">
        <v>81</v>
      </c>
      <c r="C9" s="15" t="s">
        <v>82</v>
      </c>
      <c r="D9" s="15" t="s">
        <v>83</v>
      </c>
      <c r="E9" s="15" t="s">
        <v>85</v>
      </c>
      <c r="F9" s="17">
        <v>46246.5</v>
      </c>
    </row>
    <row r="10">
      <c r="A10" s="13" t="s">
        <v>89</v>
      </c>
      <c r="B10" s="15" t="s">
        <v>90</v>
      </c>
      <c r="C10" s="15" t="s">
        <v>92</v>
      </c>
      <c r="D10" s="15" t="s">
        <v>93</v>
      </c>
      <c r="E10" s="15" t="s">
        <v>85</v>
      </c>
      <c r="F10" s="17">
        <v>46246.5</v>
      </c>
    </row>
    <row r="11">
      <c r="A11" s="13" t="s">
        <v>94</v>
      </c>
      <c r="B11" s="15" t="s">
        <v>95</v>
      </c>
      <c r="C11" s="15" t="s">
        <v>97</v>
      </c>
      <c r="D11" s="15" t="s">
        <v>98</v>
      </c>
      <c r="E11" s="15" t="s">
        <v>85</v>
      </c>
      <c r="F11" s="17">
        <v>46255.5</v>
      </c>
    </row>
    <row r="12">
      <c r="A12" s="13" t="s">
        <v>100</v>
      </c>
      <c r="B12" s="15" t="s">
        <v>102</v>
      </c>
      <c r="C12" s="15" t="s">
        <v>104</v>
      </c>
      <c r="D12" s="15" t="s">
        <v>106</v>
      </c>
      <c r="E12" s="15" t="s">
        <v>85</v>
      </c>
      <c r="F12" s="17">
        <v>46255.5</v>
      </c>
    </row>
    <row r="13">
      <c r="A13" s="13" t="s">
        <v>108</v>
      </c>
      <c r="B13" s="15" t="s">
        <v>111</v>
      </c>
      <c r="C13" s="15" t="s">
        <v>113</v>
      </c>
      <c r="D13" s="15" t="s">
        <v>115</v>
      </c>
      <c r="E13" s="15" t="s">
        <v>79</v>
      </c>
      <c r="F13" s="17">
        <v>46283.5</v>
      </c>
    </row>
    <row r="14">
      <c r="A14" s="13" t="s">
        <v>12</v>
      </c>
      <c r="B14" s="15" t="s">
        <v>118</v>
      </c>
      <c r="C14" s="15" t="s">
        <v>120</v>
      </c>
      <c r="D14" s="15" t="s">
        <v>122</v>
      </c>
      <c r="E14" s="15" t="s">
        <v>123</v>
      </c>
      <c r="F14" s="17">
        <v>46297.5</v>
      </c>
    </row>
    <row r="15">
      <c r="A15" s="2"/>
      <c r="B15" s="2"/>
      <c r="C15" s="2"/>
      <c r="D15" s="2"/>
      <c r="E15" s="2"/>
      <c r="F15" s="2"/>
    </row>
    <row r="16">
      <c r="A16" s="2"/>
      <c r="B16" s="2"/>
      <c r="C16" s="2"/>
      <c r="D16" s="2"/>
      <c r="E16" s="2"/>
      <c r="F16" s="2"/>
    </row>
    <row r="17">
      <c r="A17" s="32" t="s">
        <v>127</v>
      </c>
    </row>
    <row r="18">
      <c r="A18" s="33">
        <v>1.0</v>
      </c>
      <c r="B18" s="35" t="s">
        <v>129</v>
      </c>
      <c r="C18" s="35"/>
      <c r="D18" s="35"/>
      <c r="E18" s="35"/>
      <c r="F18" s="37"/>
    </row>
    <row r="19">
      <c r="A19" s="39">
        <v>2.0</v>
      </c>
      <c r="B19" s="41" t="s">
        <v>133</v>
      </c>
      <c r="C19" s="41"/>
      <c r="D19" s="41"/>
      <c r="E19" s="41"/>
      <c r="F19" s="42"/>
    </row>
    <row r="20">
      <c r="A20" s="39">
        <v>3.0</v>
      </c>
      <c r="B20" s="41" t="s">
        <v>138</v>
      </c>
      <c r="C20" s="41"/>
      <c r="D20" s="41"/>
      <c r="E20" s="41"/>
      <c r="F20" s="42"/>
    </row>
    <row r="21" ht="15.75" customHeight="1">
      <c r="A21" s="39">
        <v>4.0</v>
      </c>
      <c r="B21" s="41" t="s">
        <v>140</v>
      </c>
      <c r="C21" s="41"/>
      <c r="D21" s="41"/>
      <c r="E21" s="41"/>
      <c r="F21" s="42"/>
    </row>
    <row r="22" ht="15.75" customHeight="1">
      <c r="A22" s="39">
        <v>5.0</v>
      </c>
      <c r="B22" s="41" t="s">
        <v>145</v>
      </c>
      <c r="C22" s="41"/>
      <c r="D22" s="41"/>
      <c r="E22" s="41"/>
      <c r="F22" s="42"/>
    </row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F1"/>
    <mergeCell ref="A2:F2"/>
    <mergeCell ref="A17:F17"/>
  </mergeCells>
  <printOptions/>
  <pageMargins bottom="0.75" footer="0.0" header="0.0" left="0.7" right="0.7" top="0.75"/>
  <pageSetup orientation="landscape"/>
  <drawing r:id="rId1"/>
</worksheet>
</file>